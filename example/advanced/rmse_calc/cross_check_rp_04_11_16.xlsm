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Source\stereo\example\advanced\rmse_calc\"/>
    </mc:Choice>
  </mc:AlternateContent>
  <bookViews>
    <workbookView xWindow="0" yWindow="0" windowWidth="23070" windowHeight="9375" activeTab="1"/>
  </bookViews>
  <sheets>
    <sheet name="Sheet1" sheetId="1" r:id="rId1"/>
    <sheet name="Sub_Cal_Rp" sheetId="2" r:id="rId2"/>
  </sheet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" i="2" l="1"/>
  <c r="P18" i="2"/>
  <c r="P19" i="2"/>
  <c r="P20" i="2"/>
  <c r="P21" i="2"/>
  <c r="P16" i="2"/>
  <c r="V17" i="2"/>
  <c r="V18" i="2"/>
  <c r="V19" i="2"/>
  <c r="V20" i="2"/>
  <c r="V21" i="2"/>
  <c r="V16" i="2"/>
  <c r="S16" i="2"/>
  <c r="S17" i="2"/>
  <c r="S19" i="2"/>
  <c r="S21" i="2"/>
  <c r="M17" i="2"/>
  <c r="M16" i="2"/>
  <c r="M19" i="2"/>
  <c r="M20" i="2"/>
  <c r="M21" i="2"/>
  <c r="M18" i="2"/>
  <c r="J32" i="2"/>
  <c r="J31" i="2"/>
  <c r="J30" i="2"/>
  <c r="J29" i="2"/>
  <c r="J28" i="2"/>
  <c r="J21" i="2"/>
  <c r="J20" i="2"/>
  <c r="J19" i="2"/>
  <c r="J18" i="2"/>
  <c r="J17" i="2"/>
  <c r="J10" i="2"/>
  <c r="J9" i="2"/>
  <c r="J8" i="2"/>
  <c r="J7" i="2"/>
  <c r="J6" i="2"/>
  <c r="J27" i="2"/>
  <c r="J16" i="2"/>
  <c r="J5" i="2"/>
</calcChain>
</file>

<file path=xl/sharedStrings.xml><?xml version="1.0" encoding="utf-8"?>
<sst xmlns="http://schemas.openxmlformats.org/spreadsheetml/2006/main" count="102" uniqueCount="33">
  <si>
    <t>#16 jawha sample</t>
    <phoneticPr fontId="1" type="noConversion"/>
  </si>
  <si>
    <t>#11 jawha sample</t>
    <phoneticPr fontId="1" type="noConversion"/>
  </si>
  <si>
    <t xml:space="preserve">image 01 </t>
    <phoneticPr fontId="1" type="noConversion"/>
  </si>
  <si>
    <t>calib param 01</t>
    <phoneticPr fontId="1" type="noConversion"/>
  </si>
  <si>
    <t>calib param 02</t>
    <phoneticPr fontId="1" type="noConversion"/>
  </si>
  <si>
    <t>calib param 03</t>
  </si>
  <si>
    <t>calib param 04</t>
  </si>
  <si>
    <t>calib param 05</t>
  </si>
  <si>
    <t>calib param 06</t>
  </si>
  <si>
    <t>image 02</t>
  </si>
  <si>
    <t>image 03</t>
  </si>
  <si>
    <t>image 04</t>
  </si>
  <si>
    <t>image 05</t>
  </si>
  <si>
    <t>image 06</t>
  </si>
  <si>
    <t xml:space="preserve">#4 jawha sample </t>
    <phoneticPr fontId="1" type="noConversion"/>
  </si>
  <si>
    <t>Rp</t>
    <phoneticPr fontId="1" type="noConversion"/>
  </si>
  <si>
    <t>Cal</t>
    <phoneticPr fontId="1" type="noConversion"/>
  </si>
  <si>
    <t>Cal-RMSE</t>
    <phoneticPr fontId="1" type="noConversion"/>
  </si>
  <si>
    <t>Cal-OptRMSE</t>
    <phoneticPr fontId="1" type="noConversion"/>
  </si>
  <si>
    <t>Cal-Opt2RMSE</t>
    <phoneticPr fontId="1" type="noConversion"/>
  </si>
  <si>
    <t>light</t>
    <phoneticPr fontId="1" type="noConversion"/>
  </si>
  <si>
    <t>num=3</t>
    <phoneticPr fontId="1" type="noConversion"/>
  </si>
  <si>
    <t>num=5</t>
    <phoneticPr fontId="1" type="noConversion"/>
  </si>
  <si>
    <t>Cal-Opt3RMSE</t>
    <phoneticPr fontId="1" type="noConversion"/>
  </si>
  <si>
    <t>Cal-Opt4RMSE</t>
    <phoneticPr fontId="1" type="noConversion"/>
  </si>
  <si>
    <t>num=2</t>
    <phoneticPr fontId="1" type="noConversion"/>
  </si>
  <si>
    <t xml:space="preserve">#4 sample </t>
    <phoneticPr fontId="1" type="noConversion"/>
  </si>
  <si>
    <t>#11 sample</t>
    <phoneticPr fontId="1" type="noConversion"/>
  </si>
  <si>
    <t>#16 sample</t>
    <phoneticPr fontId="1" type="noConversion"/>
  </si>
  <si>
    <t>OptCal</t>
    <phoneticPr fontId="1" type="noConversion"/>
  </si>
  <si>
    <t>Opt2Cal</t>
    <phoneticPr fontId="1" type="noConversion"/>
  </si>
  <si>
    <t>Opt3Cal</t>
    <phoneticPr fontId="1" type="noConversion"/>
  </si>
  <si>
    <t>Opt4Cal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</si>
</sst>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6"/>
      <name val="Arial Unicode MS"/>
      <family val="3"/>
      <charset val="129"/>
    </font>
    <font>
      <sz val="16"/>
      <color theme="1"/>
      <name val="Arial Unicode MS"/>
      <family val="3"/>
      <charset val="129"/>
    </font>
    <font>
      <sz val="16"/>
      <color rgb="FFFF0000"/>
      <name val="Arial Unicode MS"/>
      <family val="3"/>
      <charset val="129"/>
    </font>
    <font>
      <sz val="16"/>
      <name val="맑은 고딕"/>
      <family val="3"/>
      <charset val="129"/>
    </font>
    <font>
      <sz val="16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2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 applyProtection="1"/>
    <xf numFmtId="0" fontId="9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"/>
  <sheetViews>
    <sheetView workbookViewId="0">
      <selection activeCell="J5" sqref="J5:J10"/>
    </sheetView>
  </sheetViews>
  <sheetFormatPr defaultRowHeight="16.5" x14ac:dyDescent="0.3"/>
  <cols>
    <col min="1" max="1" width="19.375" bestFit="1" customWidth="1"/>
    <col min="2" max="7" width="14.625" customWidth="1"/>
  </cols>
  <sheetData>
    <row r="1" spans="1:7" ht="30" customHeight="1" x14ac:dyDescent="0.3"/>
    <row r="2" spans="1:7" ht="30" customHeight="1" x14ac:dyDescent="0.3">
      <c r="A2" s="5" t="s">
        <v>15</v>
      </c>
      <c r="B2" s="6" t="s">
        <v>14</v>
      </c>
      <c r="C2" s="6"/>
      <c r="D2" s="6"/>
      <c r="E2" s="6"/>
      <c r="F2" s="6"/>
      <c r="G2" s="1"/>
    </row>
    <row r="3" spans="1:7" ht="30" customHeight="1" x14ac:dyDescent="0.3">
      <c r="A3" s="1"/>
      <c r="B3" s="1"/>
      <c r="C3" s="1"/>
      <c r="D3" s="1"/>
      <c r="E3" s="1"/>
      <c r="F3" s="1"/>
      <c r="G3" s="1"/>
    </row>
    <row r="4" spans="1:7" ht="30" customHeight="1" x14ac:dyDescent="0.3">
      <c r="A4" s="2"/>
      <c r="B4" s="2" t="s">
        <v>2</v>
      </c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</row>
    <row r="5" spans="1:7" ht="30" customHeight="1" x14ac:dyDescent="0.3">
      <c r="A5" s="2" t="s">
        <v>3</v>
      </c>
      <c r="B5" s="3">
        <v>0.15534947765355001</v>
      </c>
      <c r="C5" s="3">
        <v>0.15221390328892001</v>
      </c>
      <c r="D5" s="3">
        <v>0.159974791375741</v>
      </c>
      <c r="E5" s="3">
        <v>0.158926170145092</v>
      </c>
      <c r="F5" s="3">
        <v>0.16348814378141699</v>
      </c>
      <c r="G5" s="3">
        <v>0.15519404321733499</v>
      </c>
    </row>
    <row r="6" spans="1:7" ht="30" customHeight="1" x14ac:dyDescent="0.3">
      <c r="A6" s="2" t="s">
        <v>4</v>
      </c>
      <c r="B6" s="3">
        <v>0.155851638522602</v>
      </c>
      <c r="C6" s="3">
        <v>0.15072834658028</v>
      </c>
      <c r="D6" s="3">
        <v>0.158186322655089</v>
      </c>
      <c r="E6" s="3">
        <v>0.158095734501145</v>
      </c>
      <c r="F6" s="3">
        <v>0.16308280548095899</v>
      </c>
      <c r="G6" s="3">
        <v>0.15654954764500201</v>
      </c>
    </row>
    <row r="7" spans="1:7" ht="30" customHeight="1" x14ac:dyDescent="0.3">
      <c r="A7" s="2" t="s">
        <v>5</v>
      </c>
      <c r="B7" s="3">
        <v>0.15604060935428599</v>
      </c>
      <c r="C7" s="3">
        <v>0.15099877056752001</v>
      </c>
      <c r="D7" s="3">
        <v>0.155385433910561</v>
      </c>
      <c r="E7" s="3">
        <v>0.15575392113393199</v>
      </c>
      <c r="F7" s="3">
        <v>0.16398094260776599</v>
      </c>
      <c r="G7" s="3">
        <v>0.15760451603963499</v>
      </c>
    </row>
    <row r="8" spans="1:7" ht="30" customHeight="1" x14ac:dyDescent="0.3">
      <c r="A8" s="2" t="s">
        <v>6</v>
      </c>
      <c r="B8" s="3">
        <v>0.15578543515776599</v>
      </c>
      <c r="C8" s="3">
        <v>0.15062961390896701</v>
      </c>
      <c r="D8" s="3">
        <v>0.157513750592498</v>
      </c>
      <c r="E8" s="3">
        <v>0.15598940961289601</v>
      </c>
      <c r="F8" s="3">
        <v>0.16356138585410199</v>
      </c>
      <c r="G8" s="3">
        <v>0.15644810152917701</v>
      </c>
    </row>
    <row r="9" spans="1:7" ht="30" customHeight="1" x14ac:dyDescent="0.3">
      <c r="A9" s="2" t="s">
        <v>7</v>
      </c>
      <c r="B9" s="3">
        <v>0.15776713487308</v>
      </c>
      <c r="C9" s="3">
        <v>0.15295888968618501</v>
      </c>
      <c r="D9" s="3">
        <v>0.160907111326448</v>
      </c>
      <c r="E9" s="3">
        <v>0.15966189610197401</v>
      </c>
      <c r="F9" s="3">
        <v>0.16489609658195301</v>
      </c>
      <c r="G9" s="3">
        <v>0.15858223264829999</v>
      </c>
    </row>
    <row r="10" spans="1:7" ht="30" customHeight="1" x14ac:dyDescent="0.3">
      <c r="A10" s="2" t="s">
        <v>8</v>
      </c>
      <c r="B10" s="3">
        <v>0.15688647471789199</v>
      </c>
      <c r="C10" s="3">
        <v>0.154166406610179</v>
      </c>
      <c r="D10" s="3">
        <v>0.16171515415173801</v>
      </c>
      <c r="E10" s="3">
        <v>0.15916581238809499</v>
      </c>
      <c r="F10" s="3">
        <v>0.164903606070327</v>
      </c>
      <c r="G10" s="3">
        <v>0.15689391922395099</v>
      </c>
    </row>
    <row r="11" spans="1:7" ht="30" customHeight="1" x14ac:dyDescent="0.3"/>
    <row r="12" spans="1:7" ht="30" customHeight="1" x14ac:dyDescent="0.3"/>
    <row r="13" spans="1:7" ht="30" customHeight="1" x14ac:dyDescent="0.3">
      <c r="A13" s="5" t="s">
        <v>15</v>
      </c>
      <c r="B13" s="6" t="s">
        <v>1</v>
      </c>
      <c r="C13" s="6"/>
      <c r="D13" s="6"/>
      <c r="E13" s="6"/>
      <c r="F13" s="6"/>
      <c r="G13" s="1"/>
    </row>
    <row r="14" spans="1:7" ht="30" customHeight="1" x14ac:dyDescent="0.3">
      <c r="A14" s="1"/>
      <c r="B14" s="1"/>
      <c r="C14" s="1"/>
      <c r="D14" s="1"/>
      <c r="E14" s="1"/>
      <c r="F14" s="1"/>
      <c r="G14" s="1"/>
    </row>
    <row r="15" spans="1:7" s="4" customFormat="1" ht="30" customHeight="1" x14ac:dyDescent="0.3">
      <c r="A15" s="2"/>
      <c r="B15" s="2" t="s">
        <v>2</v>
      </c>
      <c r="C15" s="2" t="s">
        <v>9</v>
      </c>
      <c r="D15" s="2" t="s">
        <v>10</v>
      </c>
      <c r="E15" s="2" t="s">
        <v>11</v>
      </c>
      <c r="F15" s="2" t="s">
        <v>12</v>
      </c>
      <c r="G15" s="2" t="s">
        <v>13</v>
      </c>
    </row>
    <row r="16" spans="1:7" s="4" customFormat="1" ht="30" customHeight="1" x14ac:dyDescent="0.3">
      <c r="A16" s="2" t="s">
        <v>3</v>
      </c>
      <c r="B16" s="3">
        <v>0.20286116619847899</v>
      </c>
      <c r="C16" s="3">
        <v>0.18870509070612099</v>
      </c>
      <c r="D16" s="3">
        <v>0.20435561480323799</v>
      </c>
      <c r="E16" s="3">
        <v>0.223220163444488</v>
      </c>
      <c r="F16" s="3">
        <v>0.208048907280278</v>
      </c>
      <c r="G16" s="3">
        <v>0.20788915933184901</v>
      </c>
    </row>
    <row r="17" spans="1:7" s="4" customFormat="1" ht="30" customHeight="1" x14ac:dyDescent="0.3">
      <c r="A17" s="2" t="s">
        <v>4</v>
      </c>
      <c r="B17" s="3">
        <v>0.200043920408642</v>
      </c>
      <c r="C17" s="3">
        <v>0.180999876566629</v>
      </c>
      <c r="D17" s="3">
        <v>0.19761519366562</v>
      </c>
      <c r="E17" s="3">
        <v>0.215190121847013</v>
      </c>
      <c r="F17" s="3">
        <v>0.19937617821166401</v>
      </c>
      <c r="G17" s="3">
        <v>0.19868973757174299</v>
      </c>
    </row>
    <row r="18" spans="1:7" s="4" customFormat="1" ht="30" customHeight="1" x14ac:dyDescent="0.3">
      <c r="A18" s="2" t="s">
        <v>5</v>
      </c>
      <c r="B18" s="3">
        <v>0.200513491263167</v>
      </c>
      <c r="C18" s="3">
        <v>0.181787067431608</v>
      </c>
      <c r="D18" s="3">
        <v>0.195213471810772</v>
      </c>
      <c r="E18" s="3">
        <v>0.21353481318256501</v>
      </c>
      <c r="F18" s="3">
        <v>0.19822405818882199</v>
      </c>
      <c r="G18" s="3">
        <v>0.198927361368124</v>
      </c>
    </row>
    <row r="19" spans="1:7" s="4" customFormat="1" ht="30" customHeight="1" x14ac:dyDescent="0.3">
      <c r="A19" s="2" t="s">
        <v>6</v>
      </c>
      <c r="B19" s="3">
        <v>0.19440652502984701</v>
      </c>
      <c r="C19" s="3">
        <v>0.17288135861926299</v>
      </c>
      <c r="D19" s="3">
        <v>0.187401942785064</v>
      </c>
      <c r="E19" s="3">
        <v>0.20299085275412501</v>
      </c>
      <c r="F19" s="3">
        <v>0.188955224780602</v>
      </c>
      <c r="G19" s="3">
        <v>0.18892271352641901</v>
      </c>
    </row>
    <row r="20" spans="1:7" s="4" customFormat="1" ht="30" customHeight="1" x14ac:dyDescent="0.3">
      <c r="A20" s="2" t="s">
        <v>7</v>
      </c>
      <c r="B20" s="3">
        <v>0.19702744643049599</v>
      </c>
      <c r="C20" s="3">
        <v>0.176033773155686</v>
      </c>
      <c r="D20" s="3">
        <v>0.19096293721902499</v>
      </c>
      <c r="E20" s="3">
        <v>0.20801549566475599</v>
      </c>
      <c r="F20" s="3">
        <v>0.19253816729922499</v>
      </c>
      <c r="G20" s="3">
        <v>0.19257411566313001</v>
      </c>
    </row>
    <row r="21" spans="1:7" s="4" customFormat="1" ht="30" customHeight="1" x14ac:dyDescent="0.3">
      <c r="A21" s="2" t="s">
        <v>8</v>
      </c>
      <c r="B21" s="3">
        <v>0.19572118323134899</v>
      </c>
      <c r="C21" s="3">
        <v>0.173389643989243</v>
      </c>
      <c r="D21" s="3">
        <v>0.189468391246531</v>
      </c>
      <c r="E21" s="3">
        <v>0.20543559328730901</v>
      </c>
      <c r="F21" s="3">
        <v>0.19185899274374599</v>
      </c>
      <c r="G21" s="3">
        <v>0.190201657185253</v>
      </c>
    </row>
    <row r="22" spans="1:7" ht="30" customHeight="1" x14ac:dyDescent="0.3"/>
    <row r="23" spans="1:7" ht="30" customHeight="1" x14ac:dyDescent="0.3"/>
    <row r="24" spans="1:7" ht="30" customHeight="1" x14ac:dyDescent="0.3">
      <c r="A24" s="5" t="s">
        <v>15</v>
      </c>
      <c r="B24" s="6" t="s">
        <v>0</v>
      </c>
      <c r="C24" s="6"/>
      <c r="D24" s="6"/>
      <c r="E24" s="6"/>
      <c r="F24" s="6"/>
      <c r="G24" s="1"/>
    </row>
    <row r="25" spans="1:7" ht="30" customHeight="1" x14ac:dyDescent="0.3">
      <c r="A25" s="1"/>
      <c r="B25" s="1"/>
      <c r="C25" s="1"/>
      <c r="D25" s="1"/>
      <c r="E25" s="1"/>
      <c r="F25" s="1"/>
      <c r="G25" s="1"/>
    </row>
    <row r="26" spans="1:7" s="4" customFormat="1" ht="30" customHeight="1" x14ac:dyDescent="0.3">
      <c r="A26" s="2"/>
      <c r="B26" s="2" t="s">
        <v>2</v>
      </c>
      <c r="C26" s="2" t="s">
        <v>9</v>
      </c>
      <c r="D26" s="2" t="s">
        <v>10</v>
      </c>
      <c r="E26" s="2" t="s">
        <v>11</v>
      </c>
      <c r="F26" s="2" t="s">
        <v>12</v>
      </c>
      <c r="G26" s="2" t="s">
        <v>13</v>
      </c>
    </row>
    <row r="27" spans="1:7" s="4" customFormat="1" ht="29.25" customHeight="1" x14ac:dyDescent="0.3">
      <c r="A27" s="2" t="s">
        <v>3</v>
      </c>
      <c r="B27" s="3">
        <v>0.161791205795076</v>
      </c>
      <c r="C27" s="3">
        <v>0.18059009377135299</v>
      </c>
      <c r="D27" s="3">
        <v>0.15912214568699201</v>
      </c>
      <c r="E27" s="3">
        <v>0.17308635906057501</v>
      </c>
      <c r="F27" s="3">
        <v>0.200154620655698</v>
      </c>
      <c r="G27" s="3">
        <v>0.156621560417363</v>
      </c>
    </row>
    <row r="28" spans="1:7" s="4" customFormat="1" ht="29.25" customHeight="1" x14ac:dyDescent="0.3">
      <c r="A28" s="2" t="s">
        <v>4</v>
      </c>
      <c r="B28" s="3">
        <v>0.16675481726995001</v>
      </c>
      <c r="C28" s="3">
        <v>0.17720892341175601</v>
      </c>
      <c r="D28" s="3">
        <v>0.15744587089755899</v>
      </c>
      <c r="E28" s="3">
        <v>0.171633846346119</v>
      </c>
      <c r="F28" s="3">
        <v>0.197585319285773</v>
      </c>
      <c r="G28" s="3">
        <v>0.154665885297467</v>
      </c>
    </row>
    <row r="29" spans="1:7" s="4" customFormat="1" ht="29.25" customHeight="1" x14ac:dyDescent="0.3">
      <c r="A29" s="2" t="s">
        <v>5</v>
      </c>
      <c r="B29" s="3">
        <v>0.16312419259295299</v>
      </c>
      <c r="C29" s="3">
        <v>0.178315382413677</v>
      </c>
      <c r="D29" s="3">
        <v>0.14995782059879501</v>
      </c>
      <c r="E29" s="3">
        <v>0.16922202422385399</v>
      </c>
      <c r="F29" s="3">
        <v>0.195518155884366</v>
      </c>
      <c r="G29" s="3">
        <v>0.148885540995639</v>
      </c>
    </row>
    <row r="30" spans="1:7" s="4" customFormat="1" ht="29.25" customHeight="1" x14ac:dyDescent="0.3">
      <c r="A30" s="2" t="s">
        <v>6</v>
      </c>
      <c r="B30" s="3">
        <v>0.164023835708004</v>
      </c>
      <c r="C30" s="3">
        <v>0.17825820026929901</v>
      </c>
      <c r="D30" s="3">
        <v>0.153451694117193</v>
      </c>
      <c r="E30" s="3">
        <v>0.16955177183066</v>
      </c>
      <c r="F30" s="3">
        <v>0.19690864037577799</v>
      </c>
      <c r="G30" s="3">
        <v>0.15197374080096801</v>
      </c>
    </row>
    <row r="31" spans="1:7" s="4" customFormat="1" ht="29.25" customHeight="1" x14ac:dyDescent="0.3">
      <c r="A31" s="2" t="s">
        <v>7</v>
      </c>
      <c r="B31" s="3">
        <v>0.16601441921184501</v>
      </c>
      <c r="C31" s="3">
        <v>0.179269269758765</v>
      </c>
      <c r="D31" s="3">
        <v>0.15379288109446401</v>
      </c>
      <c r="E31" s="3">
        <v>0.17100809188022301</v>
      </c>
      <c r="F31" s="3">
        <v>0.194266638606822</v>
      </c>
      <c r="G31" s="3">
        <v>0.15127993402712001</v>
      </c>
    </row>
    <row r="32" spans="1:7" s="4" customFormat="1" ht="29.25" customHeight="1" x14ac:dyDescent="0.3">
      <c r="A32" s="2" t="s">
        <v>8</v>
      </c>
      <c r="B32" s="3">
        <v>0.16435534813355501</v>
      </c>
      <c r="C32" s="3">
        <v>0.179219561614752</v>
      </c>
      <c r="D32" s="3">
        <v>0.15156098369653001</v>
      </c>
      <c r="E32" s="3">
        <v>0.169367479919206</v>
      </c>
      <c r="F32" s="3">
        <v>0.19374112995868301</v>
      </c>
      <c r="G32" s="3">
        <v>0.14929488870754701</v>
      </c>
    </row>
  </sheetData>
  <mergeCells count="3">
    <mergeCell ref="B2:F2"/>
    <mergeCell ref="B24:F24"/>
    <mergeCell ref="B13:F1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2"/>
  <sheetViews>
    <sheetView tabSelected="1" workbookViewId="0">
      <selection activeCell="I22" sqref="I22"/>
    </sheetView>
  </sheetViews>
  <sheetFormatPr defaultRowHeight="16.5" x14ac:dyDescent="0.3"/>
  <cols>
    <col min="1" max="1" width="19.375" bestFit="1" customWidth="1"/>
    <col min="2" max="7" width="14.625" customWidth="1"/>
    <col min="12" max="12" width="10.25" customWidth="1"/>
    <col min="13" max="13" width="10.375" customWidth="1"/>
    <col min="15" max="15" width="10.25" customWidth="1"/>
    <col min="16" max="16" width="9" customWidth="1"/>
    <col min="19" max="19" width="10" customWidth="1"/>
  </cols>
  <sheetData>
    <row r="1" spans="1:22" ht="30" customHeight="1" x14ac:dyDescent="0.3"/>
    <row r="2" spans="1:22" ht="30" customHeight="1" x14ac:dyDescent="0.3">
      <c r="A2" s="5" t="s">
        <v>15</v>
      </c>
      <c r="B2" s="6" t="s">
        <v>26</v>
      </c>
      <c r="C2" s="6"/>
      <c r="D2" s="6"/>
      <c r="E2" s="6"/>
      <c r="F2" s="6"/>
      <c r="G2" s="1"/>
    </row>
    <row r="3" spans="1:22" ht="30" customHeight="1" x14ac:dyDescent="0.3">
      <c r="A3" s="1"/>
      <c r="B3" s="1"/>
      <c r="C3" s="1"/>
      <c r="D3" s="1"/>
      <c r="E3" s="1"/>
      <c r="F3" s="1"/>
      <c r="G3" s="1"/>
    </row>
    <row r="4" spans="1:22" ht="30" customHeight="1" x14ac:dyDescent="0.3">
      <c r="A4" s="2"/>
      <c r="B4" s="2" t="s">
        <v>2</v>
      </c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I4" s="7" t="s">
        <v>16</v>
      </c>
      <c r="J4" s="4" t="s">
        <v>17</v>
      </c>
    </row>
    <row r="5" spans="1:22" ht="30" customHeight="1" x14ac:dyDescent="0.5">
      <c r="A5" s="2" t="s">
        <v>3</v>
      </c>
      <c r="B5" s="3">
        <v>0.15534947765355001</v>
      </c>
      <c r="C5" s="3">
        <v>0.15221390328892001</v>
      </c>
      <c r="D5" s="3">
        <v>0.159974791375741</v>
      </c>
      <c r="E5" s="3">
        <v>0.158926170145092</v>
      </c>
      <c r="F5" s="3">
        <v>0.16348814378141699</v>
      </c>
      <c r="G5" s="3">
        <v>0.15519404321733499</v>
      </c>
      <c r="I5" s="11">
        <v>0.13973332999999999</v>
      </c>
      <c r="J5" s="12">
        <f>ABS(I5-B5)</f>
        <v>1.5616147653550017E-2</v>
      </c>
    </row>
    <row r="6" spans="1:22" ht="30" customHeight="1" x14ac:dyDescent="0.5">
      <c r="A6" s="2" t="s">
        <v>4</v>
      </c>
      <c r="B6" s="3">
        <v>0.155851638522602</v>
      </c>
      <c r="C6" s="3">
        <v>0.15072834658028</v>
      </c>
      <c r="D6" s="3">
        <v>0.158186322655089</v>
      </c>
      <c r="E6" s="3">
        <v>0.158095734501145</v>
      </c>
      <c r="F6" s="3">
        <v>0.16308280548095899</v>
      </c>
      <c r="G6" s="3">
        <v>0.15654954764500201</v>
      </c>
      <c r="I6" s="11">
        <v>0.13513721000000001</v>
      </c>
      <c r="J6" s="12">
        <f>ABS(I6-C6)</f>
        <v>1.5591136580279996E-2</v>
      </c>
    </row>
    <row r="7" spans="1:22" ht="30" customHeight="1" x14ac:dyDescent="0.5">
      <c r="A7" s="2" t="s">
        <v>5</v>
      </c>
      <c r="B7" s="3">
        <v>0.15604060935428599</v>
      </c>
      <c r="C7" s="3">
        <v>0.15099877056752001</v>
      </c>
      <c r="D7" s="3">
        <v>0.155385433910561</v>
      </c>
      <c r="E7" s="3">
        <v>0.15575392113393199</v>
      </c>
      <c r="F7" s="3">
        <v>0.16398094260776599</v>
      </c>
      <c r="G7" s="3">
        <v>0.15760451603963499</v>
      </c>
      <c r="I7" s="11">
        <v>0.13889773999999999</v>
      </c>
      <c r="J7" s="12">
        <f>ABS(I7-D7)</f>
        <v>1.6487693910561013E-2</v>
      </c>
    </row>
    <row r="8" spans="1:22" ht="30" customHeight="1" x14ac:dyDescent="0.5">
      <c r="A8" s="2" t="s">
        <v>6</v>
      </c>
      <c r="B8" s="3">
        <v>0.15578543515776599</v>
      </c>
      <c r="C8" s="3">
        <v>0.15062961390896701</v>
      </c>
      <c r="D8" s="3">
        <v>0.157513750592498</v>
      </c>
      <c r="E8" s="3">
        <v>0.15598940961289601</v>
      </c>
      <c r="F8" s="3">
        <v>0.16356138585410199</v>
      </c>
      <c r="G8" s="3">
        <v>0.15644810152917701</v>
      </c>
      <c r="I8" s="11">
        <v>0.14072171999999999</v>
      </c>
      <c r="J8" s="12">
        <f>ABS(I8-E8)</f>
        <v>1.5267689612896013E-2</v>
      </c>
    </row>
    <row r="9" spans="1:22" ht="30" customHeight="1" x14ac:dyDescent="0.5">
      <c r="A9" s="2" t="s">
        <v>7</v>
      </c>
      <c r="B9" s="3">
        <v>0.15776713487308</v>
      </c>
      <c r="C9" s="3">
        <v>0.15295888968618501</v>
      </c>
      <c r="D9" s="3">
        <v>0.160907111326448</v>
      </c>
      <c r="E9" s="3">
        <v>0.15966189610197401</v>
      </c>
      <c r="F9" s="3">
        <v>0.16489609658195301</v>
      </c>
      <c r="G9" s="3">
        <v>0.15858223264829999</v>
      </c>
      <c r="I9" s="11">
        <v>0.14814532999999999</v>
      </c>
      <c r="J9" s="12">
        <f>ABS(I9-F9)</f>
        <v>1.6750766581953014E-2</v>
      </c>
    </row>
    <row r="10" spans="1:22" ht="30" customHeight="1" x14ac:dyDescent="0.5">
      <c r="A10" s="2" t="s">
        <v>8</v>
      </c>
      <c r="B10" s="3">
        <v>0.15688647471789199</v>
      </c>
      <c r="C10" s="3">
        <v>0.154166406610179</v>
      </c>
      <c r="D10" s="3">
        <v>0.16171515415173801</v>
      </c>
      <c r="E10" s="3">
        <v>0.15916581238809499</v>
      </c>
      <c r="F10" s="3">
        <v>0.164903606070327</v>
      </c>
      <c r="G10" s="3">
        <v>0.15689391922395099</v>
      </c>
      <c r="I10" s="11">
        <v>0.14148769999999999</v>
      </c>
      <c r="J10" s="12">
        <f>ABS(I10-G10)</f>
        <v>1.5406219223950995E-2</v>
      </c>
    </row>
    <row r="11" spans="1:22" ht="30" customHeight="1" x14ac:dyDescent="0.3"/>
    <row r="12" spans="1:22" ht="30" customHeight="1" x14ac:dyDescent="0.3"/>
    <row r="13" spans="1:22" ht="30" customHeight="1" x14ac:dyDescent="0.3">
      <c r="A13" s="5" t="s">
        <v>15</v>
      </c>
      <c r="B13" s="6" t="s">
        <v>27</v>
      </c>
      <c r="C13" s="6"/>
      <c r="D13" s="6"/>
      <c r="E13" s="6"/>
      <c r="F13" s="6"/>
      <c r="G13" s="1"/>
      <c r="L13" t="s">
        <v>20</v>
      </c>
      <c r="O13" t="s">
        <v>25</v>
      </c>
      <c r="R13" t="s">
        <v>22</v>
      </c>
      <c r="U13" t="s">
        <v>21</v>
      </c>
    </row>
    <row r="14" spans="1:22" ht="30" customHeight="1" x14ac:dyDescent="0.3">
      <c r="A14" s="1"/>
      <c r="B14" s="1"/>
      <c r="C14" s="1"/>
      <c r="D14" s="1"/>
      <c r="E14" s="1"/>
      <c r="F14" s="1"/>
      <c r="G14" s="1"/>
      <c r="L14">
        <v>0.192</v>
      </c>
      <c r="V14" s="9"/>
    </row>
    <row r="15" spans="1:22" s="4" customFormat="1" ht="30" customHeight="1" x14ac:dyDescent="0.3">
      <c r="A15" s="2"/>
      <c r="B15" s="2" t="s">
        <v>2</v>
      </c>
      <c r="C15" s="2" t="s">
        <v>9</v>
      </c>
      <c r="D15" s="2" t="s">
        <v>10</v>
      </c>
      <c r="E15" s="2" t="s">
        <v>11</v>
      </c>
      <c r="F15" s="2" t="s">
        <v>12</v>
      </c>
      <c r="G15" s="2" t="s">
        <v>13</v>
      </c>
      <c r="I15" s="7" t="s">
        <v>16</v>
      </c>
      <c r="J15" s="4" t="s">
        <v>17</v>
      </c>
      <c r="L15" s="4" t="s">
        <v>29</v>
      </c>
      <c r="M15" s="4" t="s">
        <v>18</v>
      </c>
      <c r="O15" s="4" t="s">
        <v>30</v>
      </c>
      <c r="P15" s="4" t="s">
        <v>19</v>
      </c>
      <c r="R15" s="4" t="s">
        <v>31</v>
      </c>
      <c r="S15" s="4" t="s">
        <v>23</v>
      </c>
      <c r="U15" s="4" t="s">
        <v>32</v>
      </c>
      <c r="V15" s="4" t="s">
        <v>24</v>
      </c>
    </row>
    <row r="16" spans="1:22" s="4" customFormat="1" ht="30" customHeight="1" x14ac:dyDescent="0.4">
      <c r="A16" s="2" t="s">
        <v>3</v>
      </c>
      <c r="B16" s="3">
        <v>0.20286116619847899</v>
      </c>
      <c r="C16" s="3">
        <v>0.18870509070612099</v>
      </c>
      <c r="D16" s="3">
        <v>0.20435561480323799</v>
      </c>
      <c r="E16" s="3">
        <v>0.223220163444488</v>
      </c>
      <c r="F16" s="3">
        <v>0.208048907280278</v>
      </c>
      <c r="G16" s="3">
        <v>0.20788915933184901</v>
      </c>
      <c r="I16" s="8">
        <v>0.17015817</v>
      </c>
      <c r="J16" s="9">
        <f>ABS(I16-B16)</f>
        <v>3.2702996198478995E-2</v>
      </c>
      <c r="K16" s="9"/>
      <c r="L16" s="9">
        <v>0.19836999999999999</v>
      </c>
      <c r="M16" s="9">
        <f t="shared" ref="M16" si="0">ABS(L16-I16)</f>
        <v>2.8211829999999993E-2</v>
      </c>
      <c r="O16" s="9">
        <v>0.19581090000000001</v>
      </c>
      <c r="P16" s="9">
        <f>ABS(O16-I16)</f>
        <v>2.5652730000000012E-2</v>
      </c>
      <c r="R16" s="9">
        <v>0.19570000000000001</v>
      </c>
      <c r="S16" s="9">
        <f>ABS(R16-I16)</f>
        <v>2.5541830000000015E-2</v>
      </c>
      <c r="U16" s="9">
        <v>0.19339999999999999</v>
      </c>
      <c r="V16" s="9">
        <f>ABS(U16-I16)</f>
        <v>2.3241829999999991E-2</v>
      </c>
    </row>
    <row r="17" spans="1:23" s="4" customFormat="1" ht="30" customHeight="1" x14ac:dyDescent="0.4">
      <c r="A17" s="2" t="s">
        <v>4</v>
      </c>
      <c r="B17" s="3">
        <v>0.200043920408642</v>
      </c>
      <c r="C17" s="3">
        <v>0.180999876566629</v>
      </c>
      <c r="D17" s="3">
        <v>0.19761519366562</v>
      </c>
      <c r="E17" s="3">
        <v>0.215190121847013</v>
      </c>
      <c r="F17" s="3">
        <v>0.19937617821166401</v>
      </c>
      <c r="G17" s="3">
        <v>0.19868973757174299</v>
      </c>
      <c r="I17" s="8">
        <v>0.14907081999999999</v>
      </c>
      <c r="J17" s="9">
        <f>ABS(I17-C17)</f>
        <v>3.1929056566629005E-2</v>
      </c>
      <c r="K17" s="9"/>
      <c r="L17" s="9">
        <v>0.17760000000000001</v>
      </c>
      <c r="M17" s="9">
        <f t="shared" ref="M17:M21" si="1">ABS(L17-I17)</f>
        <v>2.8529180000000015E-2</v>
      </c>
      <c r="O17" s="9">
        <v>0.17769190000000001</v>
      </c>
      <c r="P17" s="9">
        <f t="shared" ref="P17:P21" si="2">ABS(O17-I17)</f>
        <v>2.8621080000000021E-2</v>
      </c>
      <c r="R17" s="9">
        <v>0.17499999999999999</v>
      </c>
      <c r="S17" s="9">
        <f>ABS(R17-I17)</f>
        <v>2.5929179999999996E-2</v>
      </c>
      <c r="U17" s="9">
        <v>0.17512</v>
      </c>
      <c r="V17" s="9">
        <f t="shared" ref="V17:V21" si="3">ABS(U17-I17)</f>
        <v>2.6049180000000005E-2</v>
      </c>
    </row>
    <row r="18" spans="1:23" s="4" customFormat="1" ht="30" customHeight="1" x14ac:dyDescent="0.4">
      <c r="A18" s="2" t="s">
        <v>5</v>
      </c>
      <c r="B18" s="3">
        <v>0.200513491263167</v>
      </c>
      <c r="C18" s="3">
        <v>0.181787067431608</v>
      </c>
      <c r="D18" s="3">
        <v>0.195213471810772</v>
      </c>
      <c r="E18" s="3">
        <v>0.21353481318256501</v>
      </c>
      <c r="F18" s="3">
        <v>0.19822405818882199</v>
      </c>
      <c r="G18" s="3">
        <v>0.198927361368124</v>
      </c>
      <c r="I18" s="8">
        <v>0.16381383999999999</v>
      </c>
      <c r="J18" s="9">
        <f>ABS(I18-D18)</f>
        <v>3.1399631810772016E-2</v>
      </c>
      <c r="K18" s="9"/>
      <c r="L18" s="9">
        <v>0.19427179999999999</v>
      </c>
      <c r="M18" s="9">
        <f>ABS(L18-I18)</f>
        <v>3.0457960000000006E-2</v>
      </c>
      <c r="O18" s="9">
        <v>0.191826</v>
      </c>
      <c r="P18" s="9">
        <f t="shared" si="2"/>
        <v>2.8012160000000008E-2</v>
      </c>
      <c r="R18" s="9"/>
      <c r="S18" s="9"/>
      <c r="U18" s="9">
        <v>0.18842</v>
      </c>
      <c r="V18" s="9">
        <f t="shared" si="3"/>
        <v>2.4606160000000016E-2</v>
      </c>
    </row>
    <row r="19" spans="1:23" s="4" customFormat="1" ht="30" customHeight="1" x14ac:dyDescent="0.4">
      <c r="A19" s="2" t="s">
        <v>6</v>
      </c>
      <c r="B19" s="3">
        <v>0.19440652502984701</v>
      </c>
      <c r="C19" s="3">
        <v>0.17288135861926299</v>
      </c>
      <c r="D19" s="3">
        <v>0.187401942785064</v>
      </c>
      <c r="E19" s="3">
        <v>0.20299085275412501</v>
      </c>
      <c r="F19" s="3">
        <v>0.188955224780602</v>
      </c>
      <c r="G19" s="3">
        <v>0.18892271352641901</v>
      </c>
      <c r="I19" s="8">
        <v>0.17201749999999999</v>
      </c>
      <c r="J19" s="9">
        <f>ABS(I19-E19)</f>
        <v>3.0973352754125022E-2</v>
      </c>
      <c r="K19" s="9"/>
      <c r="L19" s="9">
        <v>0.1988</v>
      </c>
      <c r="M19" s="9">
        <f t="shared" si="1"/>
        <v>2.6782500000000015E-2</v>
      </c>
      <c r="O19" s="9">
        <v>0.19941410000000001</v>
      </c>
      <c r="P19" s="9">
        <f t="shared" si="2"/>
        <v>2.7396600000000021E-2</v>
      </c>
      <c r="R19" s="9">
        <v>0.19520000000000001</v>
      </c>
      <c r="S19" s="9">
        <f>ABS(R19-I19)</f>
        <v>2.3182500000000023E-2</v>
      </c>
      <c r="U19" s="9">
        <v>0.19775000000000001</v>
      </c>
      <c r="V19" s="9">
        <f t="shared" si="3"/>
        <v>2.5732500000000019E-2</v>
      </c>
    </row>
    <row r="20" spans="1:23" s="4" customFormat="1" ht="30" customHeight="1" x14ac:dyDescent="0.4">
      <c r="A20" s="2" t="s">
        <v>7</v>
      </c>
      <c r="B20" s="3">
        <v>0.19702744643049599</v>
      </c>
      <c r="C20" s="3">
        <v>0.176033773155686</v>
      </c>
      <c r="D20" s="3">
        <v>0.19096293721902499</v>
      </c>
      <c r="E20" s="3">
        <v>0.20801549566475599</v>
      </c>
      <c r="F20" s="3">
        <v>0.19253816729922499</v>
      </c>
      <c r="G20" s="3">
        <v>0.19257411566313001</v>
      </c>
      <c r="I20" s="8">
        <v>0.16132850000000001</v>
      </c>
      <c r="J20" s="9">
        <f>ABS(I20-F20)</f>
        <v>3.1209667299224975E-2</v>
      </c>
      <c r="K20" s="9"/>
      <c r="L20" s="9">
        <v>0.19014</v>
      </c>
      <c r="M20" s="9">
        <f t="shared" si="1"/>
        <v>2.881149999999999E-2</v>
      </c>
      <c r="O20" s="9">
        <v>0.18870000000000001</v>
      </c>
      <c r="P20" s="9">
        <f t="shared" si="2"/>
        <v>2.7371499999999993E-2</v>
      </c>
      <c r="R20" s="9"/>
      <c r="S20" s="9"/>
      <c r="U20" s="9">
        <v>0.186644</v>
      </c>
      <c r="V20" s="9">
        <f t="shared" si="3"/>
        <v>2.5315499999999991E-2</v>
      </c>
    </row>
    <row r="21" spans="1:23" s="4" customFormat="1" ht="30" customHeight="1" x14ac:dyDescent="0.4">
      <c r="A21" s="2" t="s">
        <v>8</v>
      </c>
      <c r="B21" s="3">
        <v>0.19572118323134899</v>
      </c>
      <c r="C21" s="3">
        <v>0.173389643989243</v>
      </c>
      <c r="D21" s="3">
        <v>0.189468391246531</v>
      </c>
      <c r="E21" s="3">
        <v>0.20543559328730901</v>
      </c>
      <c r="F21" s="3">
        <v>0.19185899274374599</v>
      </c>
      <c r="G21" s="3">
        <v>0.190201657185253</v>
      </c>
      <c r="I21" s="8">
        <v>0.15531859000000001</v>
      </c>
      <c r="J21" s="9">
        <f>ABS(I21-G21)</f>
        <v>3.4883067185252997E-2</v>
      </c>
      <c r="K21" s="9"/>
      <c r="L21" s="9">
        <v>0.18773999999999999</v>
      </c>
      <c r="M21" s="9">
        <f t="shared" si="1"/>
        <v>3.2421409999999984E-2</v>
      </c>
      <c r="O21" s="10">
        <v>0.18379999999999999</v>
      </c>
      <c r="P21" s="9">
        <f t="shared" si="2"/>
        <v>2.8481409999999985E-2</v>
      </c>
      <c r="R21" s="9">
        <v>0.18410000000000001</v>
      </c>
      <c r="S21" s="9">
        <f>ABS(R21-I21)</f>
        <v>2.8781410000000007E-2</v>
      </c>
      <c r="U21" s="9">
        <v>0.18274000000000001</v>
      </c>
      <c r="V21" s="9">
        <f t="shared" si="3"/>
        <v>2.7421410000000007E-2</v>
      </c>
    </row>
    <row r="22" spans="1:23" ht="30" customHeight="1" x14ac:dyDescent="0.3">
      <c r="W22" s="4"/>
    </row>
    <row r="23" spans="1:23" ht="30" customHeight="1" x14ac:dyDescent="0.3">
      <c r="U23" s="9"/>
    </row>
    <row r="24" spans="1:23" ht="30" customHeight="1" x14ac:dyDescent="0.3">
      <c r="A24" s="5" t="s">
        <v>15</v>
      </c>
      <c r="B24" s="6" t="s">
        <v>28</v>
      </c>
      <c r="C24" s="6"/>
      <c r="D24" s="6"/>
      <c r="E24" s="6"/>
      <c r="F24" s="6"/>
      <c r="G24" s="1"/>
      <c r="U24" s="9"/>
    </row>
    <row r="25" spans="1:23" ht="30" customHeight="1" x14ac:dyDescent="0.3">
      <c r="A25" s="1"/>
      <c r="B25" s="1"/>
      <c r="C25" s="1"/>
      <c r="D25" s="1"/>
      <c r="E25" s="1"/>
      <c r="F25" s="1"/>
      <c r="G25" s="1"/>
      <c r="U25" s="9"/>
    </row>
    <row r="26" spans="1:23" s="4" customFormat="1" ht="30" customHeight="1" x14ac:dyDescent="0.3">
      <c r="A26" s="2"/>
      <c r="B26" s="2" t="s">
        <v>2</v>
      </c>
      <c r="C26" s="2" t="s">
        <v>9</v>
      </c>
      <c r="D26" s="2" t="s">
        <v>10</v>
      </c>
      <c r="E26" s="2" t="s">
        <v>11</v>
      </c>
      <c r="F26" s="2" t="s">
        <v>12</v>
      </c>
      <c r="G26" s="2" t="s">
        <v>13</v>
      </c>
      <c r="I26" s="7" t="s">
        <v>16</v>
      </c>
      <c r="J26" s="4" t="s">
        <v>17</v>
      </c>
      <c r="U26" s="9"/>
    </row>
    <row r="27" spans="1:23" s="4" customFormat="1" ht="29.25" customHeight="1" x14ac:dyDescent="0.5">
      <c r="A27" s="2" t="s">
        <v>3</v>
      </c>
      <c r="B27" s="3">
        <v>0.161791205795076</v>
      </c>
      <c r="C27" s="3">
        <v>0.18059009377135299</v>
      </c>
      <c r="D27" s="3">
        <v>0.15912214568699201</v>
      </c>
      <c r="E27" s="3">
        <v>0.17308635906057501</v>
      </c>
      <c r="F27" s="3">
        <v>0.200154620655698</v>
      </c>
      <c r="G27" s="3">
        <v>0.156621560417363</v>
      </c>
      <c r="I27" s="11">
        <v>0.15166589999999999</v>
      </c>
      <c r="J27" s="12">
        <f>ABS(I27-B27)</f>
        <v>1.0125305795076006E-2</v>
      </c>
    </row>
    <row r="28" spans="1:23" s="4" customFormat="1" ht="29.25" customHeight="1" x14ac:dyDescent="0.5">
      <c r="A28" s="2" t="s">
        <v>4</v>
      </c>
      <c r="B28" s="3">
        <v>0.16675481726995001</v>
      </c>
      <c r="C28" s="3">
        <v>0.17720892341175601</v>
      </c>
      <c r="D28" s="3">
        <v>0.15744587089755899</v>
      </c>
      <c r="E28" s="3">
        <v>0.171633846346119</v>
      </c>
      <c r="F28" s="3">
        <v>0.197585319285773</v>
      </c>
      <c r="G28" s="3">
        <v>0.154665885297467</v>
      </c>
      <c r="I28" s="11">
        <v>0.16567222000000001</v>
      </c>
      <c r="J28" s="12">
        <f>ABS(I28-C28)</f>
        <v>1.1536703411756E-2</v>
      </c>
    </row>
    <row r="29" spans="1:23" s="4" customFormat="1" ht="29.25" customHeight="1" x14ac:dyDescent="0.5">
      <c r="A29" s="2" t="s">
        <v>5</v>
      </c>
      <c r="B29" s="3">
        <v>0.16312419259295299</v>
      </c>
      <c r="C29" s="3">
        <v>0.178315382413677</v>
      </c>
      <c r="D29" s="3">
        <v>0.14995782059879501</v>
      </c>
      <c r="E29" s="3">
        <v>0.16922202422385399</v>
      </c>
      <c r="F29" s="3">
        <v>0.195518155884366</v>
      </c>
      <c r="G29" s="3">
        <v>0.148885540995639</v>
      </c>
      <c r="I29" s="11">
        <v>0.14033982</v>
      </c>
      <c r="J29" s="12">
        <f>ABS(I29-D29)</f>
        <v>9.6180005987950012E-3</v>
      </c>
    </row>
    <row r="30" spans="1:23" s="4" customFormat="1" ht="29.25" customHeight="1" x14ac:dyDescent="0.5">
      <c r="A30" s="2" t="s">
        <v>6</v>
      </c>
      <c r="B30" s="3">
        <v>0.164023835708004</v>
      </c>
      <c r="C30" s="3">
        <v>0.17825820026929901</v>
      </c>
      <c r="D30" s="3">
        <v>0.153451694117193</v>
      </c>
      <c r="E30" s="3">
        <v>0.16955177183066</v>
      </c>
      <c r="F30" s="3">
        <v>0.19690864037577799</v>
      </c>
      <c r="G30" s="3">
        <v>0.15197374080096801</v>
      </c>
      <c r="I30" s="11">
        <v>0.15653924999999999</v>
      </c>
      <c r="J30" s="12">
        <f>ABS(I30-E30)</f>
        <v>1.3012521830660012E-2</v>
      </c>
    </row>
    <row r="31" spans="1:23" s="4" customFormat="1" ht="29.25" customHeight="1" x14ac:dyDescent="0.5">
      <c r="A31" s="2" t="s">
        <v>7</v>
      </c>
      <c r="B31" s="3">
        <v>0.16601441921184501</v>
      </c>
      <c r="C31" s="3">
        <v>0.179269269758765</v>
      </c>
      <c r="D31" s="3">
        <v>0.15379288109446401</v>
      </c>
      <c r="E31" s="3">
        <v>0.17100809188022301</v>
      </c>
      <c r="F31" s="3">
        <v>0.194266638606822</v>
      </c>
      <c r="G31" s="3">
        <v>0.15127993402712001</v>
      </c>
      <c r="I31" s="11">
        <v>0.18046356</v>
      </c>
      <c r="J31" s="12">
        <f>ABS(I31-F31)</f>
        <v>1.3803078606822006E-2</v>
      </c>
    </row>
    <row r="32" spans="1:23" s="4" customFormat="1" ht="29.25" customHeight="1" x14ac:dyDescent="0.5">
      <c r="A32" s="2" t="s">
        <v>8</v>
      </c>
      <c r="B32" s="3">
        <v>0.16435534813355501</v>
      </c>
      <c r="C32" s="3">
        <v>0.179219561614752</v>
      </c>
      <c r="D32" s="3">
        <v>0.15156098369653001</v>
      </c>
      <c r="E32" s="3">
        <v>0.169367479919206</v>
      </c>
      <c r="F32" s="3">
        <v>0.19374112995868301</v>
      </c>
      <c r="G32" s="3">
        <v>0.14929488870754701</v>
      </c>
      <c r="I32" s="11">
        <v>0.13740137999999999</v>
      </c>
      <c r="J32" s="12">
        <f>ABS(I32-G32)</f>
        <v>1.1893508707547018E-2</v>
      </c>
    </row>
  </sheetData>
  <mergeCells count="3">
    <mergeCell ref="B2:F2"/>
    <mergeCell ref="B13:F13"/>
    <mergeCell ref="B24:F2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Sub_Cal_Rp</vt:lpstr>
    </vt:vector>
  </TitlesOfParts>
  <Company>LG 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2019-12-27T07:22:37Z</dcterms:created>
  <dcterms:modified xsi:type="dcterms:W3CDTF">2020-01-09T09:47:57Z</dcterms:modified>
</cp:coreProperties>
</file>