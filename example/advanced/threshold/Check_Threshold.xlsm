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HET\calib\data\threshold\"/>
    </mc:Choice>
  </mc:AlternateContent>
  <bookViews>
    <workbookView xWindow="0" yWindow="0" windowWidth="2370" windowHeight="2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5" i="1" l="1"/>
  <c r="R40" i="1"/>
  <c r="Q39" i="1"/>
  <c r="H37" i="1"/>
  <c r="I37" i="1" s="1"/>
  <c r="G37" i="1"/>
  <c r="H36" i="1"/>
  <c r="I36" i="1" s="1"/>
  <c r="G36" i="1"/>
  <c r="H35" i="1"/>
  <c r="G35" i="1"/>
  <c r="H34" i="1"/>
  <c r="G34" i="1"/>
  <c r="H33" i="1"/>
  <c r="G33" i="1"/>
  <c r="H32" i="1"/>
  <c r="I32" i="1" s="1"/>
  <c r="G32" i="1"/>
  <c r="H31" i="1"/>
  <c r="G31" i="1"/>
  <c r="H30" i="1"/>
  <c r="I30" i="1" s="1"/>
  <c r="G30" i="1"/>
  <c r="H29" i="1"/>
  <c r="I29" i="1" s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I21" i="1" s="1"/>
  <c r="G21" i="1"/>
  <c r="H20" i="1"/>
  <c r="I20" i="1" s="1"/>
  <c r="G20" i="1"/>
  <c r="H19" i="1"/>
  <c r="G19" i="1"/>
  <c r="H18" i="1"/>
  <c r="G18" i="1"/>
  <c r="H17" i="1"/>
  <c r="G17" i="1"/>
  <c r="I17" i="1" s="1"/>
  <c r="H16" i="1"/>
  <c r="G16" i="1"/>
  <c r="H15" i="1"/>
  <c r="G15" i="1"/>
  <c r="H14" i="1"/>
  <c r="I14" i="1" s="1"/>
  <c r="G14" i="1"/>
  <c r="H13" i="1"/>
  <c r="G13" i="1"/>
  <c r="H12" i="1"/>
  <c r="G12" i="1"/>
  <c r="H11" i="1"/>
  <c r="I11" i="1" s="1"/>
  <c r="G11" i="1"/>
  <c r="H10" i="1"/>
  <c r="G10" i="1"/>
  <c r="H9" i="1"/>
  <c r="G9" i="1"/>
  <c r="H8" i="1"/>
  <c r="G8" i="1"/>
  <c r="H7" i="1"/>
  <c r="G7" i="1"/>
  <c r="H6" i="1"/>
  <c r="G6" i="1"/>
  <c r="H5" i="1"/>
  <c r="G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5" i="1"/>
  <c r="O39" i="1"/>
  <c r="P39" i="1"/>
  <c r="O40" i="1"/>
  <c r="P40" i="1"/>
  <c r="O41" i="1"/>
  <c r="P41" i="1"/>
  <c r="O42" i="1"/>
  <c r="O43" i="1" s="1"/>
  <c r="P42" i="1"/>
  <c r="P43" i="1" s="1"/>
  <c r="E39" i="1"/>
  <c r="F39" i="1"/>
  <c r="E40" i="1"/>
  <c r="F40" i="1"/>
  <c r="E41" i="1"/>
  <c r="F41" i="1"/>
  <c r="E42" i="1"/>
  <c r="E43" i="1" s="1"/>
  <c r="F42" i="1"/>
  <c r="F43" i="1" s="1"/>
  <c r="I16" i="1" l="1"/>
  <c r="I31" i="1"/>
  <c r="I6" i="1"/>
  <c r="I24" i="1"/>
  <c r="I27" i="1"/>
  <c r="I8" i="1"/>
  <c r="G39" i="1"/>
  <c r="F45" i="1"/>
  <c r="I26" i="1"/>
  <c r="H40" i="1"/>
  <c r="I35" i="1"/>
  <c r="S5" i="1"/>
  <c r="I13" i="1"/>
  <c r="I19" i="1"/>
  <c r="I25" i="1"/>
  <c r="I28" i="1"/>
  <c r="I34" i="1"/>
  <c r="I12" i="1"/>
  <c r="I15" i="1"/>
  <c r="I33" i="1"/>
  <c r="I23" i="1"/>
  <c r="I7" i="1"/>
  <c r="I10" i="1"/>
  <c r="I22" i="1"/>
  <c r="I9" i="1"/>
  <c r="I18" i="1"/>
  <c r="I5" i="1"/>
  <c r="E45" i="1"/>
  <c r="P45" i="1"/>
  <c r="O45" i="1"/>
  <c r="N42" i="1"/>
  <c r="N43" i="1" s="1"/>
  <c r="N41" i="1"/>
  <c r="N40" i="1"/>
  <c r="N39" i="1"/>
  <c r="D39" i="1"/>
  <c r="D40" i="1"/>
  <c r="D41" i="1"/>
  <c r="D42" i="1"/>
  <c r="D43" i="1" s="1"/>
  <c r="I45" i="1" l="1"/>
  <c r="D45" i="1"/>
  <c r="N45" i="1"/>
</calcChain>
</file>

<file path=xl/sharedStrings.xml><?xml version="1.0" encoding="utf-8"?>
<sst xmlns="http://schemas.openxmlformats.org/spreadsheetml/2006/main" count="132" uniqueCount="36">
  <si>
    <t>0.94V</t>
  </si>
  <si>
    <t>1.34V</t>
  </si>
  <si>
    <t>1.54V</t>
  </si>
  <si>
    <t>1.74V</t>
  </si>
  <si>
    <t>2.04V</t>
  </si>
  <si>
    <t>2.34V</t>
  </si>
  <si>
    <t>2.64V</t>
  </si>
  <si>
    <t>3.04V</t>
  </si>
  <si>
    <t>3.44V</t>
  </si>
  <si>
    <t>3.74V</t>
  </si>
  <si>
    <t>4.04V</t>
  </si>
  <si>
    <t>min</t>
    <phoneticPr fontId="1" type="noConversion"/>
  </si>
  <si>
    <t>max</t>
    <phoneticPr fontId="1" type="noConversion"/>
  </si>
  <si>
    <t>average</t>
    <phoneticPr fontId="1" type="noConversion"/>
  </si>
  <si>
    <t>std</t>
    <phoneticPr fontId="1" type="noConversion"/>
  </si>
  <si>
    <t>x 3 sigma</t>
    <phoneticPr fontId="1" type="noConversion"/>
  </si>
  <si>
    <t>max-min</t>
    <phoneticPr fontId="1" type="noConversion"/>
  </si>
  <si>
    <t>908VIVR965911</t>
    <phoneticPr fontId="1" type="noConversion"/>
  </si>
  <si>
    <t>normal</t>
    <phoneticPr fontId="1" type="noConversion"/>
  </si>
  <si>
    <t>thresh_2*</t>
    <phoneticPr fontId="1" type="noConversion"/>
  </si>
  <si>
    <t>thresh_1*</t>
    <phoneticPr fontId="1" type="noConversion"/>
  </si>
  <si>
    <t>threshold(gray_l, 40, 200, cv2.THRESH_BINARY)</t>
    <phoneticPr fontId="1" type="noConversion"/>
  </si>
  <si>
    <r>
      <t>adaptiveThreshold(gray_l</t>
    </r>
    <r>
      <rPr>
        <sz val="9.8000000000000007"/>
        <color rgb="FFCC7832"/>
        <rFont val="Consolas"/>
        <family val="3"/>
      </rPr>
      <t xml:space="preserve">, </t>
    </r>
    <r>
      <rPr>
        <sz val="9.8000000000000007"/>
        <color rgb="FF6897BB"/>
        <rFont val="Consolas"/>
        <family val="3"/>
      </rPr>
      <t>255</t>
    </r>
    <r>
      <rPr>
        <sz val="9.8000000000000007"/>
        <color rgb="FFCC7832"/>
        <rFont val="Consolas"/>
        <family val="3"/>
      </rPr>
      <t xml:space="preserve">, </t>
    </r>
    <r>
      <rPr>
        <sz val="9.8000000000000007"/>
        <color rgb="FFA9B7C6"/>
        <rFont val="Consolas"/>
        <family val="3"/>
      </rPr>
      <t>cv2.ADAPTIVE_THRESH_MEAN_C</t>
    </r>
    <r>
      <rPr>
        <sz val="9.8000000000000007"/>
        <color rgb="FFCC7832"/>
        <rFont val="Consolas"/>
        <family val="3"/>
      </rPr>
      <t xml:space="preserve">, </t>
    </r>
    <r>
      <rPr>
        <sz val="9.8000000000000007"/>
        <color rgb="FFA9B7C6"/>
        <rFont val="Consolas"/>
        <family val="3"/>
      </rPr>
      <t>cv2.THRESH_BINARY</t>
    </r>
    <r>
      <rPr>
        <sz val="9.8000000000000007"/>
        <color rgb="FFCC7832"/>
        <rFont val="Consolas"/>
        <family val="3"/>
      </rPr>
      <t xml:space="preserve">, </t>
    </r>
    <r>
      <rPr>
        <sz val="9.8000000000000007"/>
        <color rgb="FF6897BB"/>
        <rFont val="Consolas"/>
        <family val="3"/>
      </rPr>
      <t>25</t>
    </r>
    <r>
      <rPr>
        <sz val="9.8000000000000007"/>
        <color rgb="FFCC7832"/>
        <rFont val="Consolas"/>
        <family val="3"/>
      </rPr>
      <t xml:space="preserve">, </t>
    </r>
    <r>
      <rPr>
        <sz val="9.8000000000000007"/>
        <color rgb="FFA9B7C6"/>
        <rFont val="Consolas"/>
        <family val="3"/>
      </rPr>
      <t>-</t>
    </r>
    <r>
      <rPr>
        <sz val="9.8000000000000007"/>
        <color rgb="FF6897BB"/>
        <rFont val="Consolas"/>
        <family val="3"/>
      </rPr>
      <t>5</t>
    </r>
    <r>
      <rPr>
        <sz val="9.8000000000000007"/>
        <color rgb="FFA9B7C6"/>
        <rFont val="Consolas"/>
        <family val="3"/>
      </rPr>
      <t>)</t>
    </r>
    <phoneticPr fontId="1" type="noConversion"/>
  </si>
  <si>
    <t xml:space="preserve">normal </t>
    <phoneticPr fontId="1" type="noConversion"/>
  </si>
  <si>
    <t>min</t>
    <phoneticPr fontId="1" type="noConversion"/>
  </si>
  <si>
    <t>max</t>
    <phoneticPr fontId="1" type="noConversion"/>
  </si>
  <si>
    <t>max-min</t>
    <phoneticPr fontId="1" type="noConversion"/>
  </si>
  <si>
    <t>908VIHJ965889</t>
    <phoneticPr fontId="1" type="noConversion"/>
  </si>
  <si>
    <t>Rp on calib
(with thresh_1*)</t>
    <phoneticPr fontId="1" type="noConversion"/>
  </si>
  <si>
    <t>Rp on calib
(with thresh_2*)</t>
    <phoneticPr fontId="1" type="noConversion"/>
  </si>
  <si>
    <t>Rp on calib
(with normal)</t>
    <phoneticPr fontId="1" type="noConversion"/>
  </si>
  <si>
    <t>temperature</t>
    <phoneticPr fontId="1" type="noConversion"/>
  </si>
  <si>
    <t>voltage</t>
    <phoneticPr fontId="1" type="noConversion"/>
  </si>
  <si>
    <t>coordinate</t>
    <phoneticPr fontId="1" type="noConversion"/>
  </si>
  <si>
    <t>Set</t>
    <phoneticPr fontId="1" type="noConversion"/>
  </si>
  <si>
    <t>not detect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</si>
</sst>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00"/>
    <numFmt numFmtId="177" formatCode="0.00000_ "/>
    <numFmt numFmtId="178" formatCode="0.0"/>
    <numFmt numFmtId="179" formatCode="0.00000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.8000000000000007"/>
      <color rgb="FFA9B7C6"/>
      <name val="Consolas"/>
      <family val="3"/>
    </font>
    <font>
      <sz val="9.8000000000000007"/>
      <color rgb="FF808080"/>
      <name val="Consolas"/>
      <family val="3"/>
    </font>
    <font>
      <sz val="9.8000000000000007"/>
      <color rgb="FFCC7832"/>
      <name val="Consolas"/>
      <family val="3"/>
    </font>
    <font>
      <sz val="9.8000000000000007"/>
      <color rgb="FF6897BB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49"/>
  <sheetViews>
    <sheetView tabSelected="1" workbookViewId="0">
      <selection activeCell="C51" sqref="C51"/>
    </sheetView>
  </sheetViews>
  <sheetFormatPr defaultRowHeight="16.5" x14ac:dyDescent="0.3"/>
  <cols>
    <col min="1" max="1" width="12.25" style="3" customWidth="1"/>
    <col min="3" max="3" width="11.625" style="3" customWidth="1"/>
    <col min="4" max="4" width="13" customWidth="1"/>
    <col min="5" max="6" width="15.5" customWidth="1"/>
    <col min="7" max="7" width="8.5" style="3" customWidth="1"/>
    <col min="8" max="8" width="8.625" style="3" customWidth="1"/>
    <col min="9" max="9" width="9.125" style="3" customWidth="1"/>
    <col min="11" max="11" width="12.125" style="3" customWidth="1"/>
    <col min="12" max="12" width="9.125" customWidth="1"/>
    <col min="13" max="13" width="11.125" customWidth="1"/>
    <col min="14" max="14" width="13.625" bestFit="1" customWidth="1"/>
    <col min="15" max="15" width="15.625" customWidth="1"/>
    <col min="16" max="16" width="15.25" customWidth="1"/>
    <col min="17" max="17" width="8.5" style="3" customWidth="1"/>
    <col min="18" max="18" width="8.375" style="3" customWidth="1"/>
    <col min="19" max="19" width="8.875" style="3" customWidth="1"/>
  </cols>
  <sheetData>
    <row r="2" spans="1:19" x14ac:dyDescent="0.3">
      <c r="B2" s="1" t="s">
        <v>34</v>
      </c>
      <c r="C2" s="13"/>
      <c r="D2" s="1" t="s">
        <v>27</v>
      </c>
      <c r="L2" s="1" t="s">
        <v>34</v>
      </c>
      <c r="M2" s="1"/>
      <c r="N2" s="1" t="s">
        <v>17</v>
      </c>
    </row>
    <row r="4" spans="1:19" ht="33" x14ac:dyDescent="0.3">
      <c r="A4" s="17" t="s">
        <v>31</v>
      </c>
      <c r="B4" s="17" t="s">
        <v>32</v>
      </c>
      <c r="C4" s="17" t="s">
        <v>33</v>
      </c>
      <c r="D4" s="16" t="s">
        <v>30</v>
      </c>
      <c r="E4" s="16" t="s">
        <v>28</v>
      </c>
      <c r="F4" s="16" t="s">
        <v>29</v>
      </c>
      <c r="G4" s="24" t="s">
        <v>24</v>
      </c>
      <c r="H4" s="24" t="s">
        <v>25</v>
      </c>
      <c r="I4" s="24" t="s">
        <v>26</v>
      </c>
      <c r="K4" s="4" t="s">
        <v>31</v>
      </c>
      <c r="L4" s="4" t="s">
        <v>32</v>
      </c>
      <c r="M4" s="12" t="s">
        <v>33</v>
      </c>
      <c r="N4" s="16" t="s">
        <v>30</v>
      </c>
      <c r="O4" s="16" t="s">
        <v>28</v>
      </c>
      <c r="P4" s="16" t="s">
        <v>29</v>
      </c>
      <c r="Q4" s="24" t="s">
        <v>24</v>
      </c>
      <c r="R4" s="24" t="s">
        <v>25</v>
      </c>
      <c r="S4" s="24" t="s">
        <v>26</v>
      </c>
    </row>
    <row r="5" spans="1:19" x14ac:dyDescent="0.3">
      <c r="A5" s="26">
        <v>44.68</v>
      </c>
      <c r="B5" s="25" t="s">
        <v>0</v>
      </c>
      <c r="C5" s="19" t="s">
        <v>23</v>
      </c>
      <c r="D5" s="18" t="s">
        <v>35</v>
      </c>
      <c r="E5" s="18" t="s">
        <v>35</v>
      </c>
      <c r="F5" s="18" t="s">
        <v>35</v>
      </c>
      <c r="G5" s="2">
        <f>MIN(D5:F5)</f>
        <v>0</v>
      </c>
      <c r="H5" s="2">
        <f>MAX(D5:F5)</f>
        <v>0</v>
      </c>
      <c r="I5" s="2">
        <f>H5-G5</f>
        <v>0</v>
      </c>
      <c r="K5" s="10">
        <v>45.91</v>
      </c>
      <c r="L5" s="4" t="s">
        <v>0</v>
      </c>
      <c r="M5" s="19" t="s">
        <v>23</v>
      </c>
      <c r="N5" s="18" t="s">
        <v>35</v>
      </c>
      <c r="O5" s="18" t="s">
        <v>35</v>
      </c>
      <c r="P5" s="18" t="s">
        <v>35</v>
      </c>
      <c r="Q5" s="2">
        <f>MIN(N5:P5)</f>
        <v>0</v>
      </c>
      <c r="R5" s="2">
        <f>MAX(N5:P5)</f>
        <v>0</v>
      </c>
      <c r="S5" s="2">
        <f>R5-Q5</f>
        <v>0</v>
      </c>
    </row>
    <row r="6" spans="1:19" x14ac:dyDescent="0.3">
      <c r="A6" s="26"/>
      <c r="B6" s="25"/>
      <c r="C6" s="20" t="s">
        <v>20</v>
      </c>
      <c r="D6" s="21">
        <v>0.169987</v>
      </c>
      <c r="E6" s="21">
        <v>0.171158</v>
      </c>
      <c r="F6" s="21">
        <v>0.17435600000000001</v>
      </c>
      <c r="G6" s="2">
        <f t="shared" ref="G6:G37" si="0">MIN(D6:F6)</f>
        <v>0.169987</v>
      </c>
      <c r="H6" s="2">
        <f t="shared" ref="H6:H37" si="1">MAX(D6:F6)</f>
        <v>0.17435600000000001</v>
      </c>
      <c r="I6" s="2">
        <f t="shared" ref="I6:I37" si="2">H6-G6</f>
        <v>4.3690000000000118E-3</v>
      </c>
      <c r="K6" s="10"/>
      <c r="L6" s="4"/>
      <c r="M6" s="20" t="s">
        <v>20</v>
      </c>
      <c r="N6" s="21">
        <v>0.20269400000000001</v>
      </c>
      <c r="O6" s="21">
        <v>0.21084800000000001</v>
      </c>
      <c r="P6" s="21">
        <v>0.22187200000000001</v>
      </c>
      <c r="Q6" s="2">
        <f t="shared" ref="Q6:Q37" si="3">MIN(N6:P6)</f>
        <v>0.20269400000000001</v>
      </c>
      <c r="R6" s="2">
        <f t="shared" ref="R6:R37" si="4">MAX(N6:P6)</f>
        <v>0.22187200000000001</v>
      </c>
      <c r="S6" s="2">
        <f t="shared" ref="S6:S37" si="5">R6-Q6</f>
        <v>1.9178000000000001E-2</v>
      </c>
    </row>
    <row r="7" spans="1:19" x14ac:dyDescent="0.3">
      <c r="A7" s="26"/>
      <c r="B7" s="25"/>
      <c r="C7" s="22" t="s">
        <v>19</v>
      </c>
      <c r="D7" s="23">
        <v>0.154469</v>
      </c>
      <c r="E7" s="23">
        <v>0.16412599999999999</v>
      </c>
      <c r="F7" s="23">
        <v>0.17005600000000001</v>
      </c>
      <c r="G7" s="2">
        <f t="shared" si="0"/>
        <v>0.154469</v>
      </c>
      <c r="H7" s="2">
        <f t="shared" si="1"/>
        <v>0.17005600000000001</v>
      </c>
      <c r="I7" s="2">
        <f t="shared" si="2"/>
        <v>1.5587000000000018E-2</v>
      </c>
      <c r="K7" s="10"/>
      <c r="L7" s="4"/>
      <c r="M7" s="22" t="s">
        <v>19</v>
      </c>
      <c r="N7" s="23">
        <v>0.20549000000000001</v>
      </c>
      <c r="O7" s="23">
        <v>0.21618699999999999</v>
      </c>
      <c r="P7" s="23">
        <v>0.22748699999999999</v>
      </c>
      <c r="Q7" s="2">
        <f t="shared" si="3"/>
        <v>0.20549000000000001</v>
      </c>
      <c r="R7" s="2">
        <f t="shared" si="4"/>
        <v>0.22748699999999999</v>
      </c>
      <c r="S7" s="2">
        <f t="shared" si="5"/>
        <v>2.1996999999999989E-2</v>
      </c>
    </row>
    <row r="8" spans="1:19" x14ac:dyDescent="0.3">
      <c r="A8" s="26">
        <v>44.89</v>
      </c>
      <c r="B8" s="25" t="s">
        <v>1</v>
      </c>
      <c r="C8" s="19" t="s">
        <v>23</v>
      </c>
      <c r="D8" s="18">
        <v>0.16116900000000001</v>
      </c>
      <c r="E8" s="18">
        <v>0.171318</v>
      </c>
      <c r="F8" s="18">
        <v>0.17741799999999999</v>
      </c>
      <c r="G8" s="2">
        <f t="shared" si="0"/>
        <v>0.16116900000000001</v>
      </c>
      <c r="H8" s="2">
        <f t="shared" si="1"/>
        <v>0.17741799999999999</v>
      </c>
      <c r="I8" s="2">
        <f t="shared" si="2"/>
        <v>1.6248999999999986E-2</v>
      </c>
      <c r="K8" s="10">
        <v>45.91</v>
      </c>
      <c r="L8" s="4" t="s">
        <v>1</v>
      </c>
      <c r="M8" s="19" t="s">
        <v>23</v>
      </c>
      <c r="N8" s="18">
        <v>0.21764700000000001</v>
      </c>
      <c r="O8" s="18">
        <v>0.23061599999999999</v>
      </c>
      <c r="P8" s="18">
        <v>0.243316</v>
      </c>
      <c r="Q8" s="2">
        <f t="shared" si="3"/>
        <v>0.21764700000000001</v>
      </c>
      <c r="R8" s="2">
        <f t="shared" si="4"/>
        <v>0.243316</v>
      </c>
      <c r="S8" s="2">
        <f t="shared" si="5"/>
        <v>2.5668999999999997E-2</v>
      </c>
    </row>
    <row r="9" spans="1:19" x14ac:dyDescent="0.3">
      <c r="A9" s="26"/>
      <c r="B9" s="25"/>
      <c r="C9" s="20" t="s">
        <v>20</v>
      </c>
      <c r="D9" s="21">
        <v>0.16583100000000001</v>
      </c>
      <c r="E9" s="21">
        <v>0.16831399999999999</v>
      </c>
      <c r="F9" s="21">
        <v>0.17183100000000001</v>
      </c>
      <c r="G9" s="2">
        <f t="shared" si="0"/>
        <v>0.16583100000000001</v>
      </c>
      <c r="H9" s="2">
        <f t="shared" si="1"/>
        <v>0.17183100000000001</v>
      </c>
      <c r="I9" s="2">
        <f t="shared" si="2"/>
        <v>6.0000000000000053E-3</v>
      </c>
      <c r="K9" s="10"/>
      <c r="L9" s="4"/>
      <c r="M9" s="20" t="s">
        <v>20</v>
      </c>
      <c r="N9" s="21">
        <v>0.20208599999999999</v>
      </c>
      <c r="O9" s="21">
        <v>0.21087800000000001</v>
      </c>
      <c r="P9" s="21">
        <v>0.22170599999999999</v>
      </c>
      <c r="Q9" s="2">
        <f t="shared" si="3"/>
        <v>0.20208599999999999</v>
      </c>
      <c r="R9" s="2">
        <f t="shared" si="4"/>
        <v>0.22170599999999999</v>
      </c>
      <c r="S9" s="2">
        <f t="shared" si="5"/>
        <v>1.9619999999999999E-2</v>
      </c>
    </row>
    <row r="10" spans="1:19" x14ac:dyDescent="0.3">
      <c r="A10" s="26"/>
      <c r="B10" s="25"/>
      <c r="C10" s="22" t="s">
        <v>19</v>
      </c>
      <c r="D10" s="23">
        <v>0.15856500000000001</v>
      </c>
      <c r="E10" s="23">
        <v>0.16547999999999999</v>
      </c>
      <c r="F10" s="23">
        <v>0.170573</v>
      </c>
      <c r="G10" s="2">
        <f t="shared" si="0"/>
        <v>0.15856500000000001</v>
      </c>
      <c r="H10" s="2">
        <f t="shared" si="1"/>
        <v>0.170573</v>
      </c>
      <c r="I10" s="2">
        <f t="shared" si="2"/>
        <v>1.2007999999999991E-2</v>
      </c>
      <c r="K10" s="10"/>
      <c r="L10" s="4"/>
      <c r="M10" s="22" t="s">
        <v>19</v>
      </c>
      <c r="N10" s="23">
        <v>0.20890800000000001</v>
      </c>
      <c r="O10" s="23">
        <v>0.21895700000000001</v>
      </c>
      <c r="P10" s="23">
        <v>0.23015099999999999</v>
      </c>
      <c r="Q10" s="2">
        <f t="shared" si="3"/>
        <v>0.20890800000000001</v>
      </c>
      <c r="R10" s="2">
        <f t="shared" si="4"/>
        <v>0.23015099999999999</v>
      </c>
      <c r="S10" s="2">
        <f t="shared" si="5"/>
        <v>2.1242999999999984E-2</v>
      </c>
    </row>
    <row r="11" spans="1:19" x14ac:dyDescent="0.3">
      <c r="A11" s="26">
        <v>44.89</v>
      </c>
      <c r="B11" s="25" t="s">
        <v>2</v>
      </c>
      <c r="C11" s="19" t="s">
        <v>23</v>
      </c>
      <c r="D11" s="18">
        <v>0.16092799999999999</v>
      </c>
      <c r="E11" s="18">
        <v>0.17050399999999999</v>
      </c>
      <c r="F11" s="18">
        <v>0.17649000000000001</v>
      </c>
      <c r="G11" s="2">
        <f t="shared" si="0"/>
        <v>0.16092799999999999</v>
      </c>
      <c r="H11" s="2">
        <f t="shared" si="1"/>
        <v>0.17649000000000001</v>
      </c>
      <c r="I11" s="2">
        <f t="shared" si="2"/>
        <v>1.556200000000002E-2</v>
      </c>
      <c r="K11" s="10">
        <v>45.81</v>
      </c>
      <c r="L11" s="4" t="s">
        <v>2</v>
      </c>
      <c r="M11" s="19" t="s">
        <v>23</v>
      </c>
      <c r="N11" s="18">
        <v>0.21343899999999999</v>
      </c>
      <c r="O11" s="18">
        <v>0.22627800000000001</v>
      </c>
      <c r="P11" s="18">
        <v>0.23907800000000001</v>
      </c>
      <c r="Q11" s="2">
        <f t="shared" si="3"/>
        <v>0.21343899999999999</v>
      </c>
      <c r="R11" s="2">
        <f t="shared" si="4"/>
        <v>0.23907800000000001</v>
      </c>
      <c r="S11" s="2">
        <f t="shared" si="5"/>
        <v>2.5639000000000023E-2</v>
      </c>
    </row>
    <row r="12" spans="1:19" x14ac:dyDescent="0.3">
      <c r="A12" s="26"/>
      <c r="B12" s="25"/>
      <c r="C12" s="20" t="s">
        <v>20</v>
      </c>
      <c r="D12" s="21">
        <v>0.16683500000000001</v>
      </c>
      <c r="E12" s="21">
        <v>0.169095</v>
      </c>
      <c r="F12" s="21">
        <v>0.172709</v>
      </c>
      <c r="G12" s="2">
        <f t="shared" si="0"/>
        <v>0.16683500000000001</v>
      </c>
      <c r="H12" s="2">
        <f t="shared" si="1"/>
        <v>0.172709</v>
      </c>
      <c r="I12" s="2">
        <f t="shared" si="2"/>
        <v>5.8739999999999903E-3</v>
      </c>
      <c r="K12" s="10"/>
      <c r="L12" s="4"/>
      <c r="M12" s="20" t="s">
        <v>20</v>
      </c>
      <c r="N12" s="21">
        <v>0.205679</v>
      </c>
      <c r="O12" s="21">
        <v>0.21408199999999999</v>
      </c>
      <c r="P12" s="21">
        <v>0.224966</v>
      </c>
      <c r="Q12" s="2">
        <f t="shared" si="3"/>
        <v>0.205679</v>
      </c>
      <c r="R12" s="2">
        <f t="shared" si="4"/>
        <v>0.224966</v>
      </c>
      <c r="S12" s="2">
        <f t="shared" si="5"/>
        <v>1.9286999999999999E-2</v>
      </c>
    </row>
    <row r="13" spans="1:19" x14ac:dyDescent="0.3">
      <c r="A13" s="26"/>
      <c r="B13" s="25"/>
      <c r="C13" s="22" t="s">
        <v>19</v>
      </c>
      <c r="D13" s="23">
        <v>0.15842600000000001</v>
      </c>
      <c r="E13" s="23">
        <v>0.165321</v>
      </c>
      <c r="F13" s="23">
        <v>0.17047599999999999</v>
      </c>
      <c r="G13" s="2">
        <f t="shared" si="0"/>
        <v>0.15842600000000001</v>
      </c>
      <c r="H13" s="2">
        <f t="shared" si="1"/>
        <v>0.17047599999999999</v>
      </c>
      <c r="I13" s="2">
        <f t="shared" si="2"/>
        <v>1.2049999999999977E-2</v>
      </c>
      <c r="K13" s="10"/>
      <c r="L13" s="4"/>
      <c r="M13" s="22" t="s">
        <v>19</v>
      </c>
      <c r="N13" s="23">
        <v>0.21171499999999999</v>
      </c>
      <c r="O13" s="23">
        <v>0.221883</v>
      </c>
      <c r="P13" s="23">
        <v>0.23349800000000001</v>
      </c>
      <c r="Q13" s="2">
        <f t="shared" si="3"/>
        <v>0.21171499999999999</v>
      </c>
      <c r="R13" s="2">
        <f t="shared" si="4"/>
        <v>0.23349800000000001</v>
      </c>
      <c r="S13" s="2">
        <f t="shared" si="5"/>
        <v>2.1783000000000025E-2</v>
      </c>
    </row>
    <row r="14" spans="1:19" x14ac:dyDescent="0.3">
      <c r="A14" s="26">
        <v>44.89</v>
      </c>
      <c r="B14" s="25" t="s">
        <v>3</v>
      </c>
      <c r="C14" s="19" t="s">
        <v>23</v>
      </c>
      <c r="D14" s="18">
        <v>0.15769900000000001</v>
      </c>
      <c r="E14" s="18">
        <v>0.167242</v>
      </c>
      <c r="F14" s="18">
        <v>0.173182</v>
      </c>
      <c r="G14" s="2">
        <f t="shared" si="0"/>
        <v>0.15769900000000001</v>
      </c>
      <c r="H14" s="2">
        <f t="shared" si="1"/>
        <v>0.173182</v>
      </c>
      <c r="I14" s="2">
        <f t="shared" si="2"/>
        <v>1.5482999999999997E-2</v>
      </c>
      <c r="K14" s="10">
        <v>45.81</v>
      </c>
      <c r="L14" s="4" t="s">
        <v>3</v>
      </c>
      <c r="M14" s="19" t="s">
        <v>23</v>
      </c>
      <c r="N14" s="18">
        <v>0.21274999999999999</v>
      </c>
      <c r="O14" s="18">
        <v>0.225383</v>
      </c>
      <c r="P14" s="18">
        <v>0.238066</v>
      </c>
      <c r="Q14" s="2">
        <f t="shared" si="3"/>
        <v>0.21274999999999999</v>
      </c>
      <c r="R14" s="2">
        <f t="shared" si="4"/>
        <v>0.238066</v>
      </c>
      <c r="S14" s="2">
        <f t="shared" si="5"/>
        <v>2.5316000000000005E-2</v>
      </c>
    </row>
    <row r="15" spans="1:19" x14ac:dyDescent="0.3">
      <c r="A15" s="26"/>
      <c r="B15" s="25"/>
      <c r="C15" s="20" t="s">
        <v>20</v>
      </c>
      <c r="D15" s="21">
        <v>0.16450600000000001</v>
      </c>
      <c r="E15" s="21">
        <v>0.16683200000000001</v>
      </c>
      <c r="F15" s="21">
        <v>0.170408</v>
      </c>
      <c r="G15" s="2">
        <f t="shared" si="0"/>
        <v>0.16450600000000001</v>
      </c>
      <c r="H15" s="2">
        <f t="shared" si="1"/>
        <v>0.170408</v>
      </c>
      <c r="I15" s="2">
        <f t="shared" si="2"/>
        <v>5.9019999999999906E-3</v>
      </c>
      <c r="K15" s="10"/>
      <c r="L15" s="4"/>
      <c r="M15" s="20" t="s">
        <v>20</v>
      </c>
      <c r="N15" s="21">
        <v>0.20677100000000001</v>
      </c>
      <c r="O15" s="21">
        <v>0.21483099999999999</v>
      </c>
      <c r="P15" s="21">
        <v>0.225494</v>
      </c>
      <c r="Q15" s="2">
        <f t="shared" si="3"/>
        <v>0.20677100000000001</v>
      </c>
      <c r="R15" s="2">
        <f t="shared" si="4"/>
        <v>0.225494</v>
      </c>
      <c r="S15" s="2">
        <f t="shared" si="5"/>
        <v>1.872299999999999E-2</v>
      </c>
    </row>
    <row r="16" spans="1:19" x14ac:dyDescent="0.3">
      <c r="A16" s="26"/>
      <c r="B16" s="25"/>
      <c r="C16" s="22" t="s">
        <v>19</v>
      </c>
      <c r="D16" s="23">
        <v>0.15761600000000001</v>
      </c>
      <c r="E16" s="23">
        <v>0.162887</v>
      </c>
      <c r="F16" s="23">
        <v>0.167435</v>
      </c>
      <c r="G16" s="2">
        <f t="shared" si="0"/>
        <v>0.15761600000000001</v>
      </c>
      <c r="H16" s="2">
        <f t="shared" si="1"/>
        <v>0.167435</v>
      </c>
      <c r="I16" s="2">
        <f t="shared" si="2"/>
        <v>9.8189999999999944E-3</v>
      </c>
      <c r="K16" s="10"/>
      <c r="L16" s="4"/>
      <c r="M16" s="22" t="s">
        <v>19</v>
      </c>
      <c r="N16" s="23">
        <v>0.21330399999999999</v>
      </c>
      <c r="O16" s="23">
        <v>0.22294800000000001</v>
      </c>
      <c r="P16" s="23">
        <v>0.23488800000000001</v>
      </c>
      <c r="Q16" s="2">
        <f t="shared" si="3"/>
        <v>0.21330399999999999</v>
      </c>
      <c r="R16" s="2">
        <f t="shared" si="4"/>
        <v>0.23488800000000001</v>
      </c>
      <c r="S16" s="2">
        <f t="shared" si="5"/>
        <v>2.158400000000002E-2</v>
      </c>
    </row>
    <row r="17" spans="1:19" x14ac:dyDescent="0.3">
      <c r="A17" s="26">
        <v>44.89</v>
      </c>
      <c r="B17" s="25" t="s">
        <v>4</v>
      </c>
      <c r="C17" s="19" t="s">
        <v>23</v>
      </c>
      <c r="D17" s="18">
        <v>0.157553</v>
      </c>
      <c r="E17" s="18">
        <v>0.16757</v>
      </c>
      <c r="F17" s="18">
        <v>0.173732</v>
      </c>
      <c r="G17" s="2">
        <f t="shared" si="0"/>
        <v>0.157553</v>
      </c>
      <c r="H17" s="2">
        <f t="shared" si="1"/>
        <v>0.173732</v>
      </c>
      <c r="I17" s="2">
        <f t="shared" si="2"/>
        <v>1.6178999999999999E-2</v>
      </c>
      <c r="K17" s="10">
        <v>45.81</v>
      </c>
      <c r="L17" s="4" t="s">
        <v>4</v>
      </c>
      <c r="M17" s="19" t="s">
        <v>23</v>
      </c>
      <c r="N17" s="18">
        <v>0.20776600000000001</v>
      </c>
      <c r="O17" s="18">
        <v>0.22026599999999999</v>
      </c>
      <c r="P17" s="18">
        <v>0.232956</v>
      </c>
      <c r="Q17" s="2">
        <f t="shared" si="3"/>
        <v>0.20776600000000001</v>
      </c>
      <c r="R17" s="2">
        <f t="shared" si="4"/>
        <v>0.232956</v>
      </c>
      <c r="S17" s="2">
        <f t="shared" si="5"/>
        <v>2.518999999999999E-2</v>
      </c>
    </row>
    <row r="18" spans="1:19" x14ac:dyDescent="0.3">
      <c r="A18" s="26"/>
      <c r="B18" s="25"/>
      <c r="C18" s="20" t="s">
        <v>20</v>
      </c>
      <c r="D18" s="21">
        <v>0.16473199999999999</v>
      </c>
      <c r="E18" s="21">
        <v>0.16738</v>
      </c>
      <c r="F18" s="21">
        <v>0.17099400000000001</v>
      </c>
      <c r="G18" s="2">
        <f t="shared" si="0"/>
        <v>0.16473199999999999</v>
      </c>
      <c r="H18" s="2">
        <f t="shared" si="1"/>
        <v>0.17099400000000001</v>
      </c>
      <c r="I18" s="2">
        <f t="shared" si="2"/>
        <v>6.2620000000000176E-3</v>
      </c>
      <c r="K18" s="10"/>
      <c r="L18" s="4"/>
      <c r="M18" s="20" t="s">
        <v>20</v>
      </c>
      <c r="N18" s="21">
        <v>0.20252700000000001</v>
      </c>
      <c r="O18" s="21">
        <v>0.210591</v>
      </c>
      <c r="P18" s="21">
        <v>0.220996</v>
      </c>
      <c r="Q18" s="2">
        <f t="shared" si="3"/>
        <v>0.20252700000000001</v>
      </c>
      <c r="R18" s="2">
        <f t="shared" si="4"/>
        <v>0.220996</v>
      </c>
      <c r="S18" s="2">
        <f t="shared" si="5"/>
        <v>1.8468999999999985E-2</v>
      </c>
    </row>
    <row r="19" spans="1:19" x14ac:dyDescent="0.3">
      <c r="A19" s="26"/>
      <c r="B19" s="25"/>
      <c r="C19" s="22" t="s">
        <v>19</v>
      </c>
      <c r="D19" s="23">
        <v>0.16251299999999999</v>
      </c>
      <c r="E19" s="23">
        <v>0.167464</v>
      </c>
      <c r="F19" s="23">
        <v>0.17200799999999999</v>
      </c>
      <c r="G19" s="2">
        <f t="shared" si="0"/>
        <v>0.16251299999999999</v>
      </c>
      <c r="H19" s="2">
        <f t="shared" si="1"/>
        <v>0.17200799999999999</v>
      </c>
      <c r="I19" s="2">
        <f t="shared" si="2"/>
        <v>9.4950000000000034E-3</v>
      </c>
      <c r="K19" s="10"/>
      <c r="L19" s="4"/>
      <c r="M19" s="22" t="s">
        <v>19</v>
      </c>
      <c r="N19" s="23">
        <v>0.209234</v>
      </c>
      <c r="O19" s="23">
        <v>0.21848300000000001</v>
      </c>
      <c r="P19" s="23">
        <v>0.23034299999999999</v>
      </c>
      <c r="Q19" s="2">
        <f t="shared" si="3"/>
        <v>0.209234</v>
      </c>
      <c r="R19" s="2">
        <f t="shared" si="4"/>
        <v>0.23034299999999999</v>
      </c>
      <c r="S19" s="2">
        <f t="shared" si="5"/>
        <v>2.1108999999999989E-2</v>
      </c>
    </row>
    <row r="20" spans="1:19" x14ac:dyDescent="0.3">
      <c r="A20" s="26">
        <v>44.89</v>
      </c>
      <c r="B20" s="25" t="s">
        <v>5</v>
      </c>
      <c r="C20" s="19" t="s">
        <v>23</v>
      </c>
      <c r="D20" s="18">
        <v>0.157276</v>
      </c>
      <c r="E20" s="18">
        <v>0.167129</v>
      </c>
      <c r="F20" s="18">
        <v>0.17330599999999999</v>
      </c>
      <c r="G20" s="2">
        <f t="shared" si="0"/>
        <v>0.157276</v>
      </c>
      <c r="H20" s="2">
        <f t="shared" si="1"/>
        <v>0.17330599999999999</v>
      </c>
      <c r="I20" s="2">
        <f t="shared" si="2"/>
        <v>1.6029999999999989E-2</v>
      </c>
      <c r="K20" s="10">
        <v>45.81</v>
      </c>
      <c r="L20" s="4" t="s">
        <v>5</v>
      </c>
      <c r="M20" s="19" t="s">
        <v>23</v>
      </c>
      <c r="N20" s="18">
        <v>0.20822299999999999</v>
      </c>
      <c r="O20" s="18">
        <v>0.22047</v>
      </c>
      <c r="P20" s="18">
        <v>0.23300599999999999</v>
      </c>
      <c r="Q20" s="2">
        <f t="shared" si="3"/>
        <v>0.20822299999999999</v>
      </c>
      <c r="R20" s="2">
        <f t="shared" si="4"/>
        <v>0.23300599999999999</v>
      </c>
      <c r="S20" s="2">
        <f t="shared" si="5"/>
        <v>2.4782999999999999E-2</v>
      </c>
    </row>
    <row r="21" spans="1:19" x14ac:dyDescent="0.3">
      <c r="A21" s="26"/>
      <c r="B21" s="25"/>
      <c r="C21" s="20" t="s">
        <v>20</v>
      </c>
      <c r="D21" s="21">
        <v>0.16547600000000001</v>
      </c>
      <c r="E21" s="21">
        <v>0.167738</v>
      </c>
      <c r="F21" s="21">
        <v>0.17121800000000001</v>
      </c>
      <c r="G21" s="2">
        <f t="shared" si="0"/>
        <v>0.16547600000000001</v>
      </c>
      <c r="H21" s="2">
        <f t="shared" si="1"/>
        <v>0.17121800000000001</v>
      </c>
      <c r="I21" s="2">
        <f t="shared" si="2"/>
        <v>5.7419999999999971E-3</v>
      </c>
      <c r="K21" s="10"/>
      <c r="L21" s="4"/>
      <c r="M21" s="20" t="s">
        <v>20</v>
      </c>
      <c r="N21" s="21">
        <v>0.20886199999999999</v>
      </c>
      <c r="O21" s="21">
        <v>0.21617900000000001</v>
      </c>
      <c r="P21" s="21">
        <v>0.22633300000000001</v>
      </c>
      <c r="Q21" s="2">
        <f t="shared" si="3"/>
        <v>0.20886199999999999</v>
      </c>
      <c r="R21" s="2">
        <f t="shared" si="4"/>
        <v>0.22633300000000001</v>
      </c>
      <c r="S21" s="2">
        <f t="shared" si="5"/>
        <v>1.7471000000000014E-2</v>
      </c>
    </row>
    <row r="22" spans="1:19" x14ac:dyDescent="0.3">
      <c r="A22" s="26"/>
      <c r="B22" s="25"/>
      <c r="C22" s="22" t="s">
        <v>19</v>
      </c>
      <c r="D22" s="23">
        <v>0.169567</v>
      </c>
      <c r="E22" s="23">
        <v>0.17307</v>
      </c>
      <c r="F22" s="23">
        <v>0.177289</v>
      </c>
      <c r="G22" s="2">
        <f t="shared" si="0"/>
        <v>0.169567</v>
      </c>
      <c r="H22" s="2">
        <f t="shared" si="1"/>
        <v>0.177289</v>
      </c>
      <c r="I22" s="2">
        <f t="shared" si="2"/>
        <v>7.7220000000000066E-3</v>
      </c>
      <c r="K22" s="10"/>
      <c r="L22" s="4"/>
      <c r="M22" s="22" t="s">
        <v>19</v>
      </c>
      <c r="N22" s="23">
        <v>0.20752599999999999</v>
      </c>
      <c r="O22" s="23">
        <v>0.21691099999999999</v>
      </c>
      <c r="P22" s="23">
        <v>0.228876</v>
      </c>
      <c r="Q22" s="2">
        <f t="shared" si="3"/>
        <v>0.20752599999999999</v>
      </c>
      <c r="R22" s="2">
        <f t="shared" si="4"/>
        <v>0.228876</v>
      </c>
      <c r="S22" s="2">
        <f t="shared" si="5"/>
        <v>2.1350000000000008E-2</v>
      </c>
    </row>
    <row r="23" spans="1:19" x14ac:dyDescent="0.3">
      <c r="A23" s="26">
        <v>44.99</v>
      </c>
      <c r="B23" s="25" t="s">
        <v>6</v>
      </c>
      <c r="C23" s="19" t="s">
        <v>18</v>
      </c>
      <c r="D23" s="18">
        <v>0.15662699999999999</v>
      </c>
      <c r="E23" s="18">
        <v>0.16667699999999999</v>
      </c>
      <c r="F23" s="18">
        <v>0.17286699999999999</v>
      </c>
      <c r="G23" s="2">
        <f t="shared" si="0"/>
        <v>0.15662699999999999</v>
      </c>
      <c r="H23" s="2">
        <f t="shared" si="1"/>
        <v>0.17286699999999999</v>
      </c>
      <c r="I23" s="2">
        <f t="shared" si="2"/>
        <v>1.6240000000000004E-2</v>
      </c>
      <c r="K23" s="10">
        <v>45.71</v>
      </c>
      <c r="L23" s="4" t="s">
        <v>6</v>
      </c>
      <c r="M23" s="19" t="s">
        <v>23</v>
      </c>
      <c r="N23" s="18">
        <v>0.20394899999999999</v>
      </c>
      <c r="O23" s="18">
        <v>0.216249</v>
      </c>
      <c r="P23" s="18">
        <v>0.22878699999999999</v>
      </c>
      <c r="Q23" s="2">
        <f t="shared" si="3"/>
        <v>0.20394899999999999</v>
      </c>
      <c r="R23" s="2">
        <f t="shared" si="4"/>
        <v>0.22878699999999999</v>
      </c>
      <c r="S23" s="2">
        <f t="shared" si="5"/>
        <v>2.4837999999999999E-2</v>
      </c>
    </row>
    <row r="24" spans="1:19" x14ac:dyDescent="0.3">
      <c r="A24" s="26"/>
      <c r="B24" s="25"/>
      <c r="C24" s="20" t="s">
        <v>20</v>
      </c>
      <c r="D24" s="21">
        <v>0.16800100000000001</v>
      </c>
      <c r="E24" s="21">
        <v>0.170934</v>
      </c>
      <c r="F24" s="21">
        <v>0.174624</v>
      </c>
      <c r="G24" s="2">
        <f t="shared" si="0"/>
        <v>0.16800100000000001</v>
      </c>
      <c r="H24" s="2">
        <f t="shared" si="1"/>
        <v>0.174624</v>
      </c>
      <c r="I24" s="2">
        <f t="shared" si="2"/>
        <v>6.62299999999999E-3</v>
      </c>
      <c r="K24" s="10"/>
      <c r="L24" s="4"/>
      <c r="M24" s="20" t="s">
        <v>20</v>
      </c>
      <c r="N24" s="21">
        <v>0.202295</v>
      </c>
      <c r="O24" s="21">
        <v>0.209755</v>
      </c>
      <c r="P24" s="21">
        <v>0.21962499999999999</v>
      </c>
      <c r="Q24" s="2">
        <f t="shared" si="3"/>
        <v>0.202295</v>
      </c>
      <c r="R24" s="2">
        <f t="shared" si="4"/>
        <v>0.21962499999999999</v>
      </c>
      <c r="S24" s="2">
        <f t="shared" si="5"/>
        <v>1.7329999999999984E-2</v>
      </c>
    </row>
    <row r="25" spans="1:19" x14ac:dyDescent="0.3">
      <c r="A25" s="26"/>
      <c r="B25" s="25"/>
      <c r="C25" s="22" t="s">
        <v>19</v>
      </c>
      <c r="D25" s="23">
        <v>0.16847300000000001</v>
      </c>
      <c r="E25" s="23">
        <v>0.17164099999999999</v>
      </c>
      <c r="F25" s="23">
        <v>0.17569399999999999</v>
      </c>
      <c r="G25" s="2">
        <f t="shared" si="0"/>
        <v>0.16847300000000001</v>
      </c>
      <c r="H25" s="2">
        <f t="shared" si="1"/>
        <v>0.17569399999999999</v>
      </c>
      <c r="I25" s="2">
        <f t="shared" si="2"/>
        <v>7.2209999999999774E-3</v>
      </c>
      <c r="K25" s="10"/>
      <c r="L25" s="4"/>
      <c r="M25" s="22" t="s">
        <v>19</v>
      </c>
      <c r="N25" s="23">
        <v>0.20011799999999999</v>
      </c>
      <c r="O25" s="23">
        <v>0.20926600000000001</v>
      </c>
      <c r="P25" s="23">
        <v>0.22120100000000001</v>
      </c>
      <c r="Q25" s="2">
        <f t="shared" si="3"/>
        <v>0.20011799999999999</v>
      </c>
      <c r="R25" s="2">
        <f t="shared" si="4"/>
        <v>0.22120100000000001</v>
      </c>
      <c r="S25" s="2">
        <f t="shared" si="5"/>
        <v>2.1083000000000018E-2</v>
      </c>
    </row>
    <row r="26" spans="1:19" x14ac:dyDescent="0.3">
      <c r="A26" s="26">
        <v>44.99</v>
      </c>
      <c r="B26" s="25" t="s">
        <v>7</v>
      </c>
      <c r="C26" s="19" t="s">
        <v>18</v>
      </c>
      <c r="D26" s="18">
        <v>0.15597800000000001</v>
      </c>
      <c r="E26" s="18">
        <v>0.16548599999999999</v>
      </c>
      <c r="F26" s="18">
        <v>0.17153399999999999</v>
      </c>
      <c r="G26" s="2">
        <f t="shared" si="0"/>
        <v>0.15597800000000001</v>
      </c>
      <c r="H26" s="2">
        <f t="shared" si="1"/>
        <v>0.17153399999999999</v>
      </c>
      <c r="I26" s="2">
        <f t="shared" si="2"/>
        <v>1.5555999999999987E-2</v>
      </c>
      <c r="K26" s="10">
        <v>45.71</v>
      </c>
      <c r="L26" s="4" t="s">
        <v>7</v>
      </c>
      <c r="M26" s="19" t="s">
        <v>23</v>
      </c>
      <c r="N26" s="18">
        <v>0.1991</v>
      </c>
      <c r="O26" s="18">
        <v>0.21113899999999999</v>
      </c>
      <c r="P26" s="18">
        <v>0.223691</v>
      </c>
      <c r="Q26" s="2">
        <f t="shared" si="3"/>
        <v>0.1991</v>
      </c>
      <c r="R26" s="2">
        <f t="shared" si="4"/>
        <v>0.223691</v>
      </c>
      <c r="S26" s="2">
        <f t="shared" si="5"/>
        <v>2.4591000000000002E-2</v>
      </c>
    </row>
    <row r="27" spans="1:19" x14ac:dyDescent="0.3">
      <c r="A27" s="26"/>
      <c r="B27" s="25"/>
      <c r="C27" s="20" t="s">
        <v>20</v>
      </c>
      <c r="D27" s="21">
        <v>0.164053</v>
      </c>
      <c r="E27" s="21">
        <v>0.16753599999999999</v>
      </c>
      <c r="F27" s="21">
        <v>0.17141999999999999</v>
      </c>
      <c r="G27" s="2">
        <f t="shared" si="0"/>
        <v>0.164053</v>
      </c>
      <c r="H27" s="2">
        <f t="shared" si="1"/>
        <v>0.17141999999999999</v>
      </c>
      <c r="I27" s="2">
        <f t="shared" si="2"/>
        <v>7.3669999999999847E-3</v>
      </c>
      <c r="K27" s="10"/>
      <c r="L27" s="4"/>
      <c r="M27" s="20" t="s">
        <v>20</v>
      </c>
      <c r="N27" s="21">
        <v>0.199822</v>
      </c>
      <c r="O27" s="21">
        <v>0.20722399999999999</v>
      </c>
      <c r="P27" s="21">
        <v>0.217168</v>
      </c>
      <c r="Q27" s="2">
        <f t="shared" si="3"/>
        <v>0.199822</v>
      </c>
      <c r="R27" s="2">
        <f t="shared" si="4"/>
        <v>0.217168</v>
      </c>
      <c r="S27" s="2">
        <f t="shared" si="5"/>
        <v>1.7346E-2</v>
      </c>
    </row>
    <row r="28" spans="1:19" x14ac:dyDescent="0.3">
      <c r="A28" s="26"/>
      <c r="B28" s="25"/>
      <c r="C28" s="22" t="s">
        <v>19</v>
      </c>
      <c r="D28" s="23">
        <v>0.17055899999999999</v>
      </c>
      <c r="E28" s="23">
        <v>0.17435899999999999</v>
      </c>
      <c r="F28" s="23">
        <v>0.17845800000000001</v>
      </c>
      <c r="G28" s="2">
        <f t="shared" si="0"/>
        <v>0.17055899999999999</v>
      </c>
      <c r="H28" s="2">
        <f t="shared" si="1"/>
        <v>0.17845800000000001</v>
      </c>
      <c r="I28" s="2">
        <f t="shared" si="2"/>
        <v>7.8990000000000171E-3</v>
      </c>
      <c r="K28" s="10"/>
      <c r="L28" s="4"/>
      <c r="M28" s="22" t="s">
        <v>19</v>
      </c>
      <c r="N28" s="23">
        <v>0.20138400000000001</v>
      </c>
      <c r="O28" s="23">
        <v>0.210395</v>
      </c>
      <c r="P28" s="23">
        <v>0.22262299999999999</v>
      </c>
      <c r="Q28" s="2">
        <f t="shared" si="3"/>
        <v>0.20138400000000001</v>
      </c>
      <c r="R28" s="2">
        <f t="shared" si="4"/>
        <v>0.22262299999999999</v>
      </c>
      <c r="S28" s="2">
        <f t="shared" si="5"/>
        <v>2.123899999999998E-2</v>
      </c>
    </row>
    <row r="29" spans="1:19" x14ac:dyDescent="0.3">
      <c r="A29" s="26">
        <v>44.99</v>
      </c>
      <c r="B29" s="25" t="s">
        <v>8</v>
      </c>
      <c r="C29" s="19" t="s">
        <v>18</v>
      </c>
      <c r="D29" s="18">
        <v>0.155529</v>
      </c>
      <c r="E29" s="18">
        <v>0.164884</v>
      </c>
      <c r="F29" s="18">
        <v>0.170963</v>
      </c>
      <c r="G29" s="2">
        <f t="shared" si="0"/>
        <v>0.155529</v>
      </c>
      <c r="H29" s="2">
        <f t="shared" si="1"/>
        <v>0.170963</v>
      </c>
      <c r="I29" s="2">
        <f t="shared" si="2"/>
        <v>1.5434000000000003E-2</v>
      </c>
      <c r="K29" s="10">
        <v>45.62</v>
      </c>
      <c r="L29" s="4" t="s">
        <v>8</v>
      </c>
      <c r="M29" s="19" t="s">
        <v>23</v>
      </c>
      <c r="N29" s="18">
        <v>0.19655</v>
      </c>
      <c r="O29" s="18">
        <v>0.20865900000000001</v>
      </c>
      <c r="P29" s="18">
        <v>0.22120200000000001</v>
      </c>
      <c r="Q29" s="2">
        <f t="shared" si="3"/>
        <v>0.19655</v>
      </c>
      <c r="R29" s="2">
        <f t="shared" si="4"/>
        <v>0.22120200000000001</v>
      </c>
      <c r="S29" s="2">
        <f t="shared" si="5"/>
        <v>2.4652000000000007E-2</v>
      </c>
    </row>
    <row r="30" spans="1:19" x14ac:dyDescent="0.3">
      <c r="A30" s="26"/>
      <c r="B30" s="25"/>
      <c r="C30" s="20" t="s">
        <v>20</v>
      </c>
      <c r="D30" s="21">
        <v>0.16045699999999999</v>
      </c>
      <c r="E30" s="21">
        <v>0.16465199999999999</v>
      </c>
      <c r="F30" s="21">
        <v>0.16881199999999999</v>
      </c>
      <c r="G30" s="2">
        <f t="shared" si="0"/>
        <v>0.16045699999999999</v>
      </c>
      <c r="H30" s="2">
        <f t="shared" si="1"/>
        <v>0.16881199999999999</v>
      </c>
      <c r="I30" s="2">
        <f t="shared" si="2"/>
        <v>8.3550000000000013E-3</v>
      </c>
      <c r="K30" s="10"/>
      <c r="L30" s="4"/>
      <c r="M30" s="20" t="s">
        <v>20</v>
      </c>
      <c r="N30" s="21">
        <v>0.196106</v>
      </c>
      <c r="O30" s="21">
        <v>0.203846</v>
      </c>
      <c r="P30" s="21">
        <v>0.213921</v>
      </c>
      <c r="Q30" s="2">
        <f t="shared" si="3"/>
        <v>0.196106</v>
      </c>
      <c r="R30" s="2">
        <f t="shared" si="4"/>
        <v>0.213921</v>
      </c>
      <c r="S30" s="2">
        <f t="shared" si="5"/>
        <v>1.7814999999999998E-2</v>
      </c>
    </row>
    <row r="31" spans="1:19" x14ac:dyDescent="0.3">
      <c r="A31" s="26"/>
      <c r="B31" s="25"/>
      <c r="C31" s="22" t="s">
        <v>19</v>
      </c>
      <c r="D31" s="23">
        <v>0.171927</v>
      </c>
      <c r="E31" s="23">
        <v>0.175875</v>
      </c>
      <c r="F31" s="23">
        <v>0.180146</v>
      </c>
      <c r="G31" s="2">
        <f t="shared" si="0"/>
        <v>0.171927</v>
      </c>
      <c r="H31" s="2">
        <f t="shared" si="1"/>
        <v>0.180146</v>
      </c>
      <c r="I31" s="2">
        <f t="shared" si="2"/>
        <v>8.2190000000000041E-3</v>
      </c>
      <c r="K31" s="10"/>
      <c r="L31" s="4"/>
      <c r="M31" s="22" t="s">
        <v>19</v>
      </c>
      <c r="N31" s="23">
        <v>0.19956699999999999</v>
      </c>
      <c r="O31" s="23">
        <v>0.20846500000000001</v>
      </c>
      <c r="P31" s="23">
        <v>0.220829</v>
      </c>
      <c r="Q31" s="2">
        <f t="shared" si="3"/>
        <v>0.19956699999999999</v>
      </c>
      <c r="R31" s="2">
        <f t="shared" si="4"/>
        <v>0.220829</v>
      </c>
      <c r="S31" s="2">
        <f t="shared" si="5"/>
        <v>2.1262000000000003E-2</v>
      </c>
    </row>
    <row r="32" spans="1:19" x14ac:dyDescent="0.3">
      <c r="A32" s="26">
        <v>44.99</v>
      </c>
      <c r="B32" s="25" t="s">
        <v>9</v>
      </c>
      <c r="C32" s="19" t="s">
        <v>18</v>
      </c>
      <c r="D32" s="18">
        <v>0.151532</v>
      </c>
      <c r="E32" s="18">
        <v>0.16033600000000001</v>
      </c>
      <c r="F32" s="18">
        <v>0.16622000000000001</v>
      </c>
      <c r="G32" s="2">
        <f t="shared" si="0"/>
        <v>0.151532</v>
      </c>
      <c r="H32" s="2">
        <f t="shared" si="1"/>
        <v>0.16622000000000001</v>
      </c>
      <c r="I32" s="2">
        <f t="shared" si="2"/>
        <v>1.4688000000000007E-2</v>
      </c>
      <c r="K32" s="10">
        <v>45.62</v>
      </c>
      <c r="L32" s="4" t="s">
        <v>9</v>
      </c>
      <c r="M32" s="19" t="s">
        <v>23</v>
      </c>
      <c r="N32" s="18">
        <v>0.19466900000000001</v>
      </c>
      <c r="O32" s="18">
        <v>0.20646100000000001</v>
      </c>
      <c r="P32" s="18">
        <v>0.219115</v>
      </c>
      <c r="Q32" s="2">
        <f t="shared" si="3"/>
        <v>0.19466900000000001</v>
      </c>
      <c r="R32" s="2">
        <f t="shared" si="4"/>
        <v>0.219115</v>
      </c>
      <c r="S32" s="2">
        <f t="shared" si="5"/>
        <v>2.4445999999999996E-2</v>
      </c>
    </row>
    <row r="33" spans="1:19" x14ac:dyDescent="0.3">
      <c r="A33" s="26"/>
      <c r="B33" s="25"/>
      <c r="C33" s="20" t="s">
        <v>20</v>
      </c>
      <c r="D33" s="21">
        <v>0.16083500000000001</v>
      </c>
      <c r="E33" s="21">
        <v>0.16586100000000001</v>
      </c>
      <c r="F33" s="21">
        <v>0.17058699999999999</v>
      </c>
      <c r="G33" s="2">
        <f t="shared" si="0"/>
        <v>0.16083500000000001</v>
      </c>
      <c r="H33" s="2">
        <f t="shared" si="1"/>
        <v>0.17058699999999999</v>
      </c>
      <c r="I33" s="2">
        <f t="shared" si="2"/>
        <v>9.7519999999999829E-3</v>
      </c>
      <c r="K33" s="10"/>
      <c r="L33" s="4"/>
      <c r="M33" s="20" t="s">
        <v>20</v>
      </c>
      <c r="N33" s="21">
        <v>0.19576399999999999</v>
      </c>
      <c r="O33" s="21">
        <v>0.20354800000000001</v>
      </c>
      <c r="P33" s="21">
        <v>0.21377199999999999</v>
      </c>
      <c r="Q33" s="2">
        <f t="shared" si="3"/>
        <v>0.19576399999999999</v>
      </c>
      <c r="R33" s="2">
        <f t="shared" si="4"/>
        <v>0.21377199999999999</v>
      </c>
      <c r="S33" s="2">
        <f t="shared" si="5"/>
        <v>1.8007999999999996E-2</v>
      </c>
    </row>
    <row r="34" spans="1:19" x14ac:dyDescent="0.3">
      <c r="A34" s="26"/>
      <c r="B34" s="25"/>
      <c r="C34" s="22" t="s">
        <v>19</v>
      </c>
      <c r="D34" s="23">
        <v>0.17052500000000001</v>
      </c>
      <c r="E34" s="23">
        <v>0.17324600000000001</v>
      </c>
      <c r="F34" s="23">
        <v>0.17718400000000001</v>
      </c>
      <c r="G34" s="2">
        <f t="shared" si="0"/>
        <v>0.17052500000000001</v>
      </c>
      <c r="H34" s="2">
        <f t="shared" si="1"/>
        <v>0.17718400000000001</v>
      </c>
      <c r="I34" s="2">
        <f t="shared" si="2"/>
        <v>6.6589999999999983E-3</v>
      </c>
      <c r="K34" s="10"/>
      <c r="L34" s="4"/>
      <c r="M34" s="22" t="s">
        <v>19</v>
      </c>
      <c r="N34" s="23">
        <v>0.19948199999999999</v>
      </c>
      <c r="O34" s="23">
        <v>0.20855399999999999</v>
      </c>
      <c r="P34" s="23">
        <v>0.22087599999999999</v>
      </c>
      <c r="Q34" s="2">
        <f t="shared" si="3"/>
        <v>0.19948199999999999</v>
      </c>
      <c r="R34" s="2">
        <f t="shared" si="4"/>
        <v>0.22087599999999999</v>
      </c>
      <c r="S34" s="2">
        <f t="shared" si="5"/>
        <v>2.1393999999999996E-2</v>
      </c>
    </row>
    <row r="35" spans="1:19" x14ac:dyDescent="0.3">
      <c r="A35" s="26">
        <v>45.1</v>
      </c>
      <c r="B35" s="25" t="s">
        <v>10</v>
      </c>
      <c r="C35" s="19" t="s">
        <v>18</v>
      </c>
      <c r="D35" s="18">
        <v>0.14858099999999999</v>
      </c>
      <c r="E35" s="18">
        <v>0.15692600000000001</v>
      </c>
      <c r="F35" s="18">
        <v>0.162663</v>
      </c>
      <c r="G35" s="2">
        <f t="shared" si="0"/>
        <v>0.14858099999999999</v>
      </c>
      <c r="H35" s="2">
        <f t="shared" si="1"/>
        <v>0.162663</v>
      </c>
      <c r="I35" s="2">
        <f t="shared" si="2"/>
        <v>1.4082000000000011E-2</v>
      </c>
      <c r="K35" s="10">
        <v>45.62</v>
      </c>
      <c r="L35" s="4" t="s">
        <v>10</v>
      </c>
      <c r="M35" s="19" t="s">
        <v>23</v>
      </c>
      <c r="N35" s="18">
        <v>0.18654499999999999</v>
      </c>
      <c r="O35" s="18">
        <v>0.19750300000000001</v>
      </c>
      <c r="P35" s="18">
        <v>0.20998900000000001</v>
      </c>
      <c r="Q35" s="2">
        <f t="shared" si="3"/>
        <v>0.18654499999999999</v>
      </c>
      <c r="R35" s="2">
        <f t="shared" si="4"/>
        <v>0.20998900000000001</v>
      </c>
      <c r="S35" s="2">
        <f t="shared" si="5"/>
        <v>2.344400000000002E-2</v>
      </c>
    </row>
    <row r="36" spans="1:19" x14ac:dyDescent="0.3">
      <c r="A36" s="26"/>
      <c r="B36" s="25"/>
      <c r="C36" s="20" t="s">
        <v>20</v>
      </c>
      <c r="D36" s="21">
        <v>0.15857499999999999</v>
      </c>
      <c r="E36" s="21">
        <v>0.16486200000000001</v>
      </c>
      <c r="F36" s="21">
        <v>0.169988</v>
      </c>
      <c r="G36" s="2">
        <f t="shared" si="0"/>
        <v>0.15857499999999999</v>
      </c>
      <c r="H36" s="2">
        <f t="shared" si="1"/>
        <v>0.169988</v>
      </c>
      <c r="I36" s="2">
        <f t="shared" si="2"/>
        <v>1.1413000000000006E-2</v>
      </c>
      <c r="K36" s="10"/>
      <c r="L36" s="4"/>
      <c r="M36" s="20" t="s">
        <v>20</v>
      </c>
      <c r="N36" s="21">
        <v>0.191329</v>
      </c>
      <c r="O36" s="21">
        <v>0.19955300000000001</v>
      </c>
      <c r="P36" s="21">
        <v>0.20982100000000001</v>
      </c>
      <c r="Q36" s="2">
        <f t="shared" si="3"/>
        <v>0.191329</v>
      </c>
      <c r="R36" s="2">
        <f t="shared" si="4"/>
        <v>0.20982100000000001</v>
      </c>
      <c r="S36" s="2">
        <f t="shared" si="5"/>
        <v>1.8492000000000008E-2</v>
      </c>
    </row>
    <row r="37" spans="1:19" x14ac:dyDescent="0.3">
      <c r="A37" s="26"/>
      <c r="B37" s="25"/>
      <c r="C37" s="22" t="s">
        <v>19</v>
      </c>
      <c r="D37" s="23">
        <v>0.17072100000000001</v>
      </c>
      <c r="E37" s="23">
        <v>0.17257600000000001</v>
      </c>
      <c r="F37" s="23">
        <v>0.17611099999999999</v>
      </c>
      <c r="G37" s="2">
        <f t="shared" si="0"/>
        <v>0.17072100000000001</v>
      </c>
      <c r="H37" s="2">
        <f t="shared" si="1"/>
        <v>0.17611099999999999</v>
      </c>
      <c r="I37" s="2">
        <f t="shared" si="2"/>
        <v>5.3899999999999781E-3</v>
      </c>
      <c r="K37" s="10"/>
      <c r="L37" s="4"/>
      <c r="M37" s="22" t="s">
        <v>19</v>
      </c>
      <c r="N37" s="23">
        <v>0.199819</v>
      </c>
      <c r="O37" s="23">
        <v>0.207679</v>
      </c>
      <c r="P37" s="23">
        <v>0.22010199999999999</v>
      </c>
      <c r="Q37" s="2">
        <f t="shared" si="3"/>
        <v>0.199819</v>
      </c>
      <c r="R37" s="2">
        <f t="shared" si="4"/>
        <v>0.22010199999999999</v>
      </c>
      <c r="S37" s="2">
        <f t="shared" si="5"/>
        <v>2.0282999999999995E-2</v>
      </c>
    </row>
    <row r="38" spans="1:19" x14ac:dyDescent="0.3">
      <c r="B38" s="3"/>
      <c r="D38" s="3"/>
      <c r="E38" s="3"/>
      <c r="F38" s="3"/>
      <c r="L38" s="3"/>
      <c r="M38" s="3"/>
      <c r="N38" s="3"/>
    </row>
    <row r="39" spans="1:19" x14ac:dyDescent="0.3">
      <c r="B39" s="4" t="s">
        <v>11</v>
      </c>
      <c r="C39" s="4"/>
      <c r="D39" s="5">
        <f>MIN(D8:D35)</f>
        <v>0.14858099999999999</v>
      </c>
      <c r="E39" s="5">
        <f t="shared" ref="E39:G39" si="6">MIN(E8:E35)</f>
        <v>0.15692600000000001</v>
      </c>
      <c r="F39" s="5">
        <f t="shared" si="6"/>
        <v>0.162663</v>
      </c>
      <c r="G39" s="5">
        <f t="shared" si="6"/>
        <v>0.14858099999999999</v>
      </c>
      <c r="H39" s="14"/>
      <c r="I39" s="14"/>
      <c r="L39" s="4" t="s">
        <v>11</v>
      </c>
      <c r="M39" s="4"/>
      <c r="N39" s="5">
        <f>MIN(N8:N35)</f>
        <v>0.18654499999999999</v>
      </c>
      <c r="O39" s="5">
        <f t="shared" ref="O39:Q39" si="7">MIN(O8:O35)</f>
        <v>0.19750300000000001</v>
      </c>
      <c r="P39" s="5">
        <f t="shared" si="7"/>
        <v>0.20998900000000001</v>
      </c>
      <c r="Q39" s="5">
        <f t="shared" si="7"/>
        <v>0.18654499999999999</v>
      </c>
    </row>
    <row r="40" spans="1:19" x14ac:dyDescent="0.3">
      <c r="B40" s="4" t="s">
        <v>12</v>
      </c>
      <c r="C40" s="4"/>
      <c r="D40" s="5">
        <f>MAX(D8:D35)</f>
        <v>0.171927</v>
      </c>
      <c r="E40" s="5">
        <f t="shared" ref="E40:H40" si="8">MAX(E8:E35)</f>
        <v>0.175875</v>
      </c>
      <c r="F40" s="5">
        <f t="shared" si="8"/>
        <v>0.180146</v>
      </c>
      <c r="G40" s="5"/>
      <c r="H40" s="5">
        <f t="shared" si="8"/>
        <v>0.180146</v>
      </c>
      <c r="I40" s="14"/>
      <c r="L40" s="4" t="s">
        <v>12</v>
      </c>
      <c r="M40" s="4"/>
      <c r="N40" s="5">
        <f>MAX(N8:N35)</f>
        <v>0.21764700000000001</v>
      </c>
      <c r="O40" s="5">
        <f t="shared" ref="O40:R40" si="9">MAX(O8:O35)</f>
        <v>0.23061599999999999</v>
      </c>
      <c r="P40" s="5">
        <f t="shared" si="9"/>
        <v>0.243316</v>
      </c>
      <c r="Q40" s="5"/>
      <c r="R40" s="5">
        <f t="shared" si="9"/>
        <v>0.243316</v>
      </c>
    </row>
    <row r="41" spans="1:19" x14ac:dyDescent="0.3">
      <c r="B41" s="4" t="s">
        <v>13</v>
      </c>
      <c r="C41" s="4"/>
      <c r="D41" s="5">
        <f>AVERAGE(D8:D35)</f>
        <v>0.16184889285714285</v>
      </c>
      <c r="E41" s="5">
        <f t="shared" ref="E41:F41" si="10">AVERAGE(E8:E35)</f>
        <v>0.16770560714285715</v>
      </c>
      <c r="F41" s="5">
        <f t="shared" si="10"/>
        <v>0.17250860714285718</v>
      </c>
      <c r="G41" s="14"/>
      <c r="H41" s="14"/>
      <c r="I41" s="14"/>
      <c r="L41" s="4" t="s">
        <v>13</v>
      </c>
      <c r="M41" s="4"/>
      <c r="N41" s="5">
        <f>AVERAGE(N8:N35)</f>
        <v>0.20399242857142855</v>
      </c>
      <c r="O41" s="5">
        <f t="shared" ref="O41:P41" si="11">AVERAGE(O8:O35)</f>
        <v>0.21392214285714289</v>
      </c>
      <c r="P41" s="5">
        <f t="shared" si="11"/>
        <v>0.22558828571428569</v>
      </c>
      <c r="R41" s="27"/>
    </row>
    <row r="42" spans="1:19" x14ac:dyDescent="0.3">
      <c r="B42" s="4" t="s">
        <v>14</v>
      </c>
      <c r="C42" s="4"/>
      <c r="D42" s="5">
        <f>_xlfn.STDEV.P(D8:D35)</f>
        <v>5.8370250515828812E-3</v>
      </c>
      <c r="E42" s="5">
        <f t="shared" ref="E42:F42" si="12">_xlfn.STDEV.P(E8:E35)</f>
        <v>4.0184227213039478E-3</v>
      </c>
      <c r="F42" s="5">
        <f t="shared" si="12"/>
        <v>3.7646464389035233E-3</v>
      </c>
      <c r="G42" s="14"/>
      <c r="H42" s="14"/>
      <c r="I42" s="14"/>
      <c r="L42" s="4" t="s">
        <v>14</v>
      </c>
      <c r="M42" s="4"/>
      <c r="N42" s="5">
        <f>_xlfn.STDEV.P(N8:N35)</f>
        <v>6.8599000900084507E-3</v>
      </c>
      <c r="O42" s="5">
        <f t="shared" ref="O42:P42" si="13">_xlfn.STDEV.P(O8:O35)</f>
        <v>7.5646583706936886E-3</v>
      </c>
      <c r="P42" s="5">
        <f t="shared" si="13"/>
        <v>7.9620980582881511E-3</v>
      </c>
    </row>
    <row r="43" spans="1:19" x14ac:dyDescent="0.3">
      <c r="B43" s="4" t="s">
        <v>15</v>
      </c>
      <c r="C43" s="4"/>
      <c r="D43" s="5">
        <f>D42*3</f>
        <v>1.7511075154748645E-2</v>
      </c>
      <c r="E43" s="5">
        <f t="shared" ref="E43:F43" si="14">E42*3</f>
        <v>1.2055268163911843E-2</v>
      </c>
      <c r="F43" s="5">
        <f t="shared" si="14"/>
        <v>1.129393931671057E-2</v>
      </c>
      <c r="G43" s="14"/>
      <c r="H43" s="14"/>
      <c r="I43" s="14"/>
      <c r="L43" s="4" t="s">
        <v>15</v>
      </c>
      <c r="M43" s="4"/>
      <c r="N43" s="5">
        <f>N42*3</f>
        <v>2.0579700270025352E-2</v>
      </c>
      <c r="O43" s="5">
        <f t="shared" ref="O43:P43" si="15">O42*3</f>
        <v>2.2693975112081065E-2</v>
      </c>
      <c r="P43" s="5">
        <f t="shared" si="15"/>
        <v>2.3886294174864452E-2</v>
      </c>
    </row>
    <row r="44" spans="1:19" x14ac:dyDescent="0.3">
      <c r="B44" s="7"/>
      <c r="C44" s="8"/>
      <c r="D44" s="8"/>
      <c r="E44" s="11"/>
      <c r="F44" s="11"/>
      <c r="G44" s="11"/>
      <c r="H44" s="11"/>
      <c r="I44" s="11"/>
      <c r="L44" s="7"/>
      <c r="M44" s="7"/>
      <c r="N44" s="8"/>
    </row>
    <row r="45" spans="1:19" x14ac:dyDescent="0.3">
      <c r="B45" s="4" t="s">
        <v>16</v>
      </c>
      <c r="C45" s="4"/>
      <c r="D45" s="6">
        <f>D40-D39</f>
        <v>2.3346000000000006E-2</v>
      </c>
      <c r="E45" s="6">
        <f t="shared" ref="E45:F45" si="16">E40-E39</f>
        <v>1.8948999999999994E-2</v>
      </c>
      <c r="F45" s="6">
        <f t="shared" si="16"/>
        <v>1.7482999999999999E-2</v>
      </c>
      <c r="G45" s="15"/>
      <c r="H45" s="15"/>
      <c r="I45" s="15">
        <f>H40-G39</f>
        <v>3.156500000000001E-2</v>
      </c>
      <c r="L45" s="4" t="s">
        <v>16</v>
      </c>
      <c r="M45" s="4"/>
      <c r="N45" s="9">
        <f>N40-N39</f>
        <v>3.1102000000000019E-2</v>
      </c>
      <c r="O45" s="9">
        <f t="shared" ref="O45:P45" si="17">O40-O39</f>
        <v>3.3112999999999976E-2</v>
      </c>
      <c r="P45" s="9">
        <f t="shared" si="17"/>
        <v>3.3326999999999996E-2</v>
      </c>
      <c r="S45" s="28">
        <f>R40-Q39</f>
        <v>5.6771000000000016E-2</v>
      </c>
    </row>
    <row r="48" spans="1:19" x14ac:dyDescent="0.3">
      <c r="B48" s="4" t="s">
        <v>20</v>
      </c>
      <c r="C48" s="29" t="s">
        <v>21</v>
      </c>
      <c r="D48" s="32"/>
      <c r="E48" s="32"/>
      <c r="F48" s="32"/>
      <c r="G48" s="32"/>
      <c r="H48" s="32"/>
      <c r="I48" s="32"/>
    </row>
    <row r="49" spans="2:8" x14ac:dyDescent="0.3">
      <c r="B49" s="4" t="s">
        <v>19</v>
      </c>
      <c r="C49" s="30" t="s">
        <v>22</v>
      </c>
      <c r="D49" s="31"/>
      <c r="E49" s="31"/>
      <c r="F49" s="31"/>
      <c r="G49" s="31"/>
      <c r="H49" s="31"/>
    </row>
  </sheetData>
  <mergeCells count="23">
    <mergeCell ref="A23:A25"/>
    <mergeCell ref="C48:I48"/>
    <mergeCell ref="B29:B31"/>
    <mergeCell ref="A35:A37"/>
    <mergeCell ref="A32:A34"/>
    <mergeCell ref="A29:A31"/>
    <mergeCell ref="A26:A28"/>
    <mergeCell ref="B32:B34"/>
    <mergeCell ref="B35:B37"/>
    <mergeCell ref="B5:B7"/>
    <mergeCell ref="A5:A7"/>
    <mergeCell ref="B8:B10"/>
    <mergeCell ref="B11:B13"/>
    <mergeCell ref="B14:B16"/>
    <mergeCell ref="B17:B19"/>
    <mergeCell ref="A17:A19"/>
    <mergeCell ref="A14:A16"/>
    <mergeCell ref="A11:A13"/>
    <mergeCell ref="A8:A10"/>
    <mergeCell ref="A20:A22"/>
    <mergeCell ref="B20:B22"/>
    <mergeCell ref="B23:B25"/>
    <mergeCell ref="B26:B2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>LG 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2019-11-01T04:36:44Z</dcterms:created>
  <dcterms:modified xsi:type="dcterms:W3CDTF">2019-11-19T03:07:03Z</dcterms:modified>
</cp:coreProperties>
</file>