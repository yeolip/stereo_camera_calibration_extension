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HET\calib\data\brightness\"/>
    </mc:Choice>
  </mc:AlternateContent>
  <bookViews>
    <workbookView xWindow="0" yWindow="0" windowWidth="2370" windowHeight="24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0" i="1" l="1"/>
  <c r="I21" i="1" s="1"/>
  <c r="H20" i="1"/>
  <c r="H21" i="1" s="1"/>
  <c r="I19" i="1"/>
  <c r="H19" i="1"/>
  <c r="I18" i="1"/>
  <c r="H18" i="1"/>
  <c r="I17" i="1"/>
  <c r="H17" i="1"/>
  <c r="D23" i="1"/>
  <c r="C23" i="1"/>
  <c r="D17" i="1"/>
  <c r="D18" i="1"/>
  <c r="D19" i="1"/>
  <c r="D20" i="1"/>
  <c r="D21" i="1" s="1"/>
  <c r="C21" i="1"/>
  <c r="C20" i="1"/>
  <c r="C19" i="1"/>
  <c r="C18" i="1"/>
  <c r="C17" i="1"/>
  <c r="H23" i="1" l="1"/>
  <c r="I23" i="1"/>
</calcChain>
</file>

<file path=xl/sharedStrings.xml><?xml version="1.0" encoding="utf-8"?>
<sst xmlns="http://schemas.openxmlformats.org/spreadsheetml/2006/main" count="50" uniqueCount="25">
  <si>
    <t>0.94V</t>
  </si>
  <si>
    <t>1.34V</t>
  </si>
  <si>
    <t>1.54V</t>
  </si>
  <si>
    <t>1.74V</t>
  </si>
  <si>
    <t>2.04V</t>
  </si>
  <si>
    <t>2.34V</t>
  </si>
  <si>
    <t>2.64V</t>
  </si>
  <si>
    <t>3.04V</t>
  </si>
  <si>
    <t>3.44V</t>
  </si>
  <si>
    <t>3.74V</t>
  </si>
  <si>
    <t>4.04V</t>
  </si>
  <si>
    <t>불인식</t>
    <phoneticPr fontId="1" type="noConversion"/>
  </si>
  <si>
    <t>Rp on 수동켈</t>
    <phoneticPr fontId="1" type="noConversion"/>
  </si>
  <si>
    <t>Rp on EOL 켈</t>
    <phoneticPr fontId="1" type="noConversion"/>
  </si>
  <si>
    <t>min</t>
    <phoneticPr fontId="1" type="noConversion"/>
  </si>
  <si>
    <t>max</t>
    <phoneticPr fontId="1" type="noConversion"/>
  </si>
  <si>
    <t>average</t>
    <phoneticPr fontId="1" type="noConversion"/>
  </si>
  <si>
    <t>std</t>
    <phoneticPr fontId="1" type="noConversion"/>
  </si>
  <si>
    <t>x 3 sigma</t>
    <phoneticPr fontId="1" type="noConversion"/>
  </si>
  <si>
    <t>908VIHJ965889</t>
  </si>
  <si>
    <t>세트</t>
    <phoneticPr fontId="1" type="noConversion"/>
  </si>
  <si>
    <t>max-min</t>
    <phoneticPr fontId="1" type="noConversion"/>
  </si>
  <si>
    <t>908VIVR965911</t>
    <phoneticPr fontId="1" type="noConversion"/>
  </si>
  <si>
    <t>온도</t>
    <phoneticPr fontId="1" type="noConversion"/>
  </si>
  <si>
    <t>전압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</si>
</sst>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7" formatCode="0.00000"/>
    <numFmt numFmtId="179" formatCode="0.00000_ "/>
    <numFmt numFmtId="194" formatCode="0.0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9" fontId="2" fillId="0" borderId="1" xfId="0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94" fontId="0" fillId="0" borderId="1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I23"/>
  <sheetViews>
    <sheetView tabSelected="1" workbookViewId="0">
      <selection activeCell="I23" sqref="A2:I23"/>
    </sheetView>
  </sheetViews>
  <sheetFormatPr defaultRowHeight="16.5" x14ac:dyDescent="0.3"/>
  <cols>
    <col min="1" max="1" width="9" style="3"/>
    <col min="3" max="3" width="13.375" customWidth="1"/>
    <col min="4" max="4" width="13" customWidth="1"/>
    <col min="6" max="6" width="9" style="3"/>
    <col min="7" max="7" width="9.125" customWidth="1"/>
    <col min="8" max="8" width="14.5" customWidth="1"/>
    <col min="9" max="9" width="13.625" bestFit="1" customWidth="1"/>
  </cols>
  <sheetData>
    <row r="2" spans="1:9" x14ac:dyDescent="0.3">
      <c r="B2" s="1" t="s">
        <v>20</v>
      </c>
      <c r="C2" s="1" t="s">
        <v>19</v>
      </c>
      <c r="G2" s="1" t="s">
        <v>20</v>
      </c>
      <c r="H2" s="1" t="s">
        <v>22</v>
      </c>
    </row>
    <row r="4" spans="1:9" x14ac:dyDescent="0.3">
      <c r="A4" s="4" t="s">
        <v>23</v>
      </c>
      <c r="B4" s="4" t="s">
        <v>24</v>
      </c>
      <c r="C4" s="4" t="s">
        <v>13</v>
      </c>
      <c r="D4" s="4" t="s">
        <v>12</v>
      </c>
      <c r="F4" s="4" t="s">
        <v>23</v>
      </c>
      <c r="G4" s="4" t="s">
        <v>24</v>
      </c>
      <c r="H4" s="4" t="s">
        <v>13</v>
      </c>
      <c r="I4" s="4" t="s">
        <v>12</v>
      </c>
    </row>
    <row r="5" spans="1:9" x14ac:dyDescent="0.3">
      <c r="A5" s="10">
        <v>44.68</v>
      </c>
      <c r="B5" s="4" t="s">
        <v>0</v>
      </c>
      <c r="C5" s="2" t="s">
        <v>11</v>
      </c>
      <c r="D5" s="2" t="s">
        <v>11</v>
      </c>
      <c r="F5" s="10">
        <v>45.91</v>
      </c>
      <c r="G5" s="4" t="s">
        <v>0</v>
      </c>
      <c r="H5" s="2" t="s">
        <v>11</v>
      </c>
      <c r="I5" s="2" t="s">
        <v>11</v>
      </c>
    </row>
    <row r="6" spans="1:9" x14ac:dyDescent="0.3">
      <c r="A6" s="10">
        <v>44.89</v>
      </c>
      <c r="B6" s="4" t="s">
        <v>1</v>
      </c>
      <c r="C6" s="2">
        <v>2.6474099999999998</v>
      </c>
      <c r="D6" s="2">
        <v>0.16116900000000001</v>
      </c>
      <c r="F6" s="10">
        <v>45.91</v>
      </c>
      <c r="G6" s="4" t="s">
        <v>1</v>
      </c>
      <c r="H6" s="2">
        <v>0.49885200000000002</v>
      </c>
      <c r="I6" s="2">
        <v>0.21764700000000001</v>
      </c>
    </row>
    <row r="7" spans="1:9" x14ac:dyDescent="0.3">
      <c r="A7" s="10">
        <v>44.89</v>
      </c>
      <c r="B7" s="4" t="s">
        <v>2</v>
      </c>
      <c r="C7" s="2">
        <v>2.65021</v>
      </c>
      <c r="D7" s="2">
        <v>0.16092799999999999</v>
      </c>
      <c r="F7" s="10">
        <v>45.81</v>
      </c>
      <c r="G7" s="4" t="s">
        <v>2</v>
      </c>
      <c r="H7" s="2">
        <v>0.49798399999999998</v>
      </c>
      <c r="I7" s="2">
        <v>0.21343899999999999</v>
      </c>
    </row>
    <row r="8" spans="1:9" x14ac:dyDescent="0.3">
      <c r="A8" s="10">
        <v>44.89</v>
      </c>
      <c r="B8" s="4" t="s">
        <v>3</v>
      </c>
      <c r="C8" s="2">
        <v>2.6532300000000002</v>
      </c>
      <c r="D8" s="2">
        <v>0.15769900000000001</v>
      </c>
      <c r="F8" s="10">
        <v>45.81</v>
      </c>
      <c r="G8" s="4" t="s">
        <v>3</v>
      </c>
      <c r="H8" s="2">
        <v>0.50029100000000004</v>
      </c>
      <c r="I8" s="2">
        <v>0.21274999999999999</v>
      </c>
    </row>
    <row r="9" spans="1:9" x14ac:dyDescent="0.3">
      <c r="A9" s="10">
        <v>44.89</v>
      </c>
      <c r="B9" s="4" t="s">
        <v>4</v>
      </c>
      <c r="C9" s="2">
        <v>2.6505999999999998</v>
      </c>
      <c r="D9" s="2">
        <v>0.157553</v>
      </c>
      <c r="F9" s="10">
        <v>45.81</v>
      </c>
      <c r="G9" s="4" t="s">
        <v>4</v>
      </c>
      <c r="H9" s="2">
        <v>0.50323300000000004</v>
      </c>
      <c r="I9" s="2">
        <v>0.20776600000000001</v>
      </c>
    </row>
    <row r="10" spans="1:9" x14ac:dyDescent="0.3">
      <c r="A10" s="10">
        <v>44.89</v>
      </c>
      <c r="B10" s="4" t="s">
        <v>5</v>
      </c>
      <c r="C10" s="2">
        <v>2.6511900000000002</v>
      </c>
      <c r="D10" s="2">
        <v>0.157276</v>
      </c>
      <c r="F10" s="10">
        <v>45.81</v>
      </c>
      <c r="G10" s="4" t="s">
        <v>5</v>
      </c>
      <c r="H10" s="2">
        <v>0.50401300000000004</v>
      </c>
      <c r="I10" s="2">
        <v>0.20822299999999999</v>
      </c>
    </row>
    <row r="11" spans="1:9" x14ac:dyDescent="0.3">
      <c r="A11" s="10">
        <v>44.99</v>
      </c>
      <c r="B11" s="4" t="s">
        <v>6</v>
      </c>
      <c r="C11" s="2">
        <v>2.6500699999999999</v>
      </c>
      <c r="D11" s="2">
        <v>0.15662699999999999</v>
      </c>
      <c r="F11" s="10">
        <v>45.71</v>
      </c>
      <c r="G11" s="4" t="s">
        <v>6</v>
      </c>
      <c r="H11" s="2">
        <v>0.50661199999999995</v>
      </c>
      <c r="I11" s="2">
        <v>0.20394899999999999</v>
      </c>
    </row>
    <row r="12" spans="1:9" x14ac:dyDescent="0.3">
      <c r="A12" s="10">
        <v>44.99</v>
      </c>
      <c r="B12" s="4" t="s">
        <v>7</v>
      </c>
      <c r="C12" s="2">
        <v>2.6535299999999999</v>
      </c>
      <c r="D12" s="2">
        <v>0.15597800000000001</v>
      </c>
      <c r="F12" s="10">
        <v>45.71</v>
      </c>
      <c r="G12" s="4" t="s">
        <v>7</v>
      </c>
      <c r="H12" s="2">
        <v>0.51158599999999999</v>
      </c>
      <c r="I12" s="2">
        <v>0.1991</v>
      </c>
    </row>
    <row r="13" spans="1:9" x14ac:dyDescent="0.3">
      <c r="A13" s="10">
        <v>44.99</v>
      </c>
      <c r="B13" s="4" t="s">
        <v>8</v>
      </c>
      <c r="C13" s="2">
        <v>2.6529600000000002</v>
      </c>
      <c r="D13" s="2">
        <v>0.155529</v>
      </c>
      <c r="F13" s="10">
        <v>45.62</v>
      </c>
      <c r="G13" s="4" t="s">
        <v>8</v>
      </c>
      <c r="H13" s="2">
        <v>0.51355099999999998</v>
      </c>
      <c r="I13" s="2">
        <v>0.19655</v>
      </c>
    </row>
    <row r="14" spans="1:9" x14ac:dyDescent="0.3">
      <c r="A14" s="10">
        <v>44.99</v>
      </c>
      <c r="B14" s="4" t="s">
        <v>9</v>
      </c>
      <c r="C14" s="2">
        <v>2.6565799999999999</v>
      </c>
      <c r="D14" s="2">
        <v>0.151532</v>
      </c>
      <c r="F14" s="10">
        <v>45.62</v>
      </c>
      <c r="G14" s="4" t="s">
        <v>9</v>
      </c>
      <c r="H14" s="2">
        <v>0.51524000000000003</v>
      </c>
      <c r="I14" s="2">
        <v>0.19466900000000001</v>
      </c>
    </row>
    <row r="15" spans="1:9" x14ac:dyDescent="0.3">
      <c r="A15" s="10">
        <v>45.1</v>
      </c>
      <c r="B15" s="4" t="s">
        <v>10</v>
      </c>
      <c r="C15" s="2">
        <v>2.6587000000000001</v>
      </c>
      <c r="D15" s="2">
        <v>0.14858099999999999</v>
      </c>
      <c r="F15" s="10">
        <v>45.62</v>
      </c>
      <c r="G15" s="4" t="s">
        <v>10</v>
      </c>
      <c r="H15" s="2">
        <v>0.52466400000000002</v>
      </c>
      <c r="I15" s="2">
        <v>0.18654499999999999</v>
      </c>
    </row>
    <row r="16" spans="1:9" x14ac:dyDescent="0.3">
      <c r="B16" s="3"/>
      <c r="C16" s="3"/>
      <c r="D16" s="3"/>
      <c r="G16" s="3"/>
      <c r="H16" s="3"/>
      <c r="I16" s="3"/>
    </row>
    <row r="17" spans="2:9" x14ac:dyDescent="0.3">
      <c r="B17" s="4" t="s">
        <v>14</v>
      </c>
      <c r="C17" s="5">
        <f>MIN(C6:C15)</f>
        <v>2.6474099999999998</v>
      </c>
      <c r="D17" s="5">
        <f>MIN(D6:D15)</f>
        <v>0.14858099999999999</v>
      </c>
      <c r="G17" s="4" t="s">
        <v>14</v>
      </c>
      <c r="H17" s="5">
        <f>MIN(H6:H15)</f>
        <v>0.49798399999999998</v>
      </c>
      <c r="I17" s="5">
        <f>MIN(I6:I15)</f>
        <v>0.18654499999999999</v>
      </c>
    </row>
    <row r="18" spans="2:9" x14ac:dyDescent="0.3">
      <c r="B18" s="4" t="s">
        <v>15</v>
      </c>
      <c r="C18" s="5">
        <f>MAX(C6:C15)</f>
        <v>2.6587000000000001</v>
      </c>
      <c r="D18" s="5">
        <f>MAX(D6:D15)</f>
        <v>0.16116900000000001</v>
      </c>
      <c r="G18" s="4" t="s">
        <v>15</v>
      </c>
      <c r="H18" s="5">
        <f>MAX(H6:H15)</f>
        <v>0.52466400000000002</v>
      </c>
      <c r="I18" s="5">
        <f>MAX(I6:I15)</f>
        <v>0.21764700000000001</v>
      </c>
    </row>
    <row r="19" spans="2:9" x14ac:dyDescent="0.3">
      <c r="B19" s="4" t="s">
        <v>16</v>
      </c>
      <c r="C19" s="5">
        <f>AVERAGE(C6:C15)</f>
        <v>2.6524480000000001</v>
      </c>
      <c r="D19" s="5">
        <f>AVERAGE(D6:D15)</f>
        <v>0.15628720000000001</v>
      </c>
      <c r="G19" s="4" t="s">
        <v>16</v>
      </c>
      <c r="H19" s="5">
        <f>AVERAGE(H6:H15)</f>
        <v>0.50760260000000001</v>
      </c>
      <c r="I19" s="5">
        <f>AVERAGE(I6:I15)</f>
        <v>0.20406379999999999</v>
      </c>
    </row>
    <row r="20" spans="2:9" x14ac:dyDescent="0.3">
      <c r="B20" s="4" t="s">
        <v>17</v>
      </c>
      <c r="C20" s="5">
        <f>_xlfn.STDEV.P(C6:C15)</f>
        <v>3.1503644233644348E-3</v>
      </c>
      <c r="D20" s="5">
        <f>_xlfn.STDEV.P(D6:D15)</f>
        <v>3.6431515422776484E-3</v>
      </c>
      <c r="G20" s="4" t="s">
        <v>17</v>
      </c>
      <c r="H20" s="5">
        <f>_xlfn.STDEV.P(H6:H15)</f>
        <v>8.1005065792208297E-3</v>
      </c>
      <c r="I20" s="5">
        <f>_xlfn.STDEV.P(I6:I15)</f>
        <v>9.247341767232355E-3</v>
      </c>
    </row>
    <row r="21" spans="2:9" x14ac:dyDescent="0.3">
      <c r="B21" s="4" t="s">
        <v>18</v>
      </c>
      <c r="C21" s="5">
        <f>C20*3</f>
        <v>9.4510932700933043E-3</v>
      </c>
      <c r="D21" s="5">
        <f>D20*3</f>
        <v>1.0929454626832945E-2</v>
      </c>
      <c r="G21" s="4" t="s">
        <v>18</v>
      </c>
      <c r="H21" s="5">
        <f>H20*3</f>
        <v>2.4301519737662487E-2</v>
      </c>
      <c r="I21" s="5">
        <f>I20*3</f>
        <v>2.7742025301697067E-2</v>
      </c>
    </row>
    <row r="22" spans="2:9" x14ac:dyDescent="0.3">
      <c r="B22" s="7"/>
      <c r="C22" s="8"/>
      <c r="D22" s="8"/>
      <c r="G22" s="7"/>
      <c r="H22" s="8"/>
      <c r="I22" s="8"/>
    </row>
    <row r="23" spans="2:9" x14ac:dyDescent="0.3">
      <c r="B23" s="4" t="s">
        <v>21</v>
      </c>
      <c r="C23" s="6">
        <f>C18-C17</f>
        <v>1.1290000000000244E-2</v>
      </c>
      <c r="D23" s="6">
        <f>D18-D17</f>
        <v>1.2588000000000016E-2</v>
      </c>
      <c r="G23" s="4" t="s">
        <v>21</v>
      </c>
      <c r="H23" s="6">
        <f>H18-H17</f>
        <v>2.6680000000000037E-2</v>
      </c>
      <c r="I23" s="9">
        <f>I18-I17</f>
        <v>3.1102000000000019E-2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>LG Electronics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2019-11-01T04:36:44Z</dcterms:created>
  <dcterms:modified xsi:type="dcterms:W3CDTF">2019-11-01T05:49:37Z</dcterms:modified>
</cp:coreProperties>
</file>